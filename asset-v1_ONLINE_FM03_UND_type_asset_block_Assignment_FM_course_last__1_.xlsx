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Local Disk 1\Intellipaat\+SSBM\Course outline\Financial Management\Assignment\"/>
    </mc:Choice>
  </mc:AlternateContent>
  <xr:revisionPtr revIDLastSave="0" documentId="13_ncr:1_{FFF4375A-274D-43B9-B1D9-492B5B93A81C}" xr6:coauthVersionLast="47" xr6:coauthVersionMax="47" xr10:uidLastSave="{00000000-0000-0000-0000-000000000000}"/>
  <bookViews>
    <workbookView xWindow="-108" yWindow="-108" windowWidth="23256" windowHeight="12456" xr2:uid="{00000000-000D-0000-FFFF-FFFF00000000}"/>
  </bookViews>
  <sheets>
    <sheet name="Assignment" sheetId="12" r:id="rId1"/>
    <sheet name="P1 Tips" sheetId="13" r:id="rId2"/>
    <sheet name="P2 History" sheetId="2" r:id="rId3"/>
    <sheet name="P3 Inputs" sheetId="3" r:id="rId4"/>
    <sheet name="P4 Assets amortization" sheetId="4" r:id="rId5"/>
    <sheet name="P5 Cost of capital" sheetId="5" r:id="rId6"/>
    <sheet name="P6 P&amp;L and BS Projection" sheetId="6" r:id="rId7"/>
    <sheet name="P7 CF's projection" sheetId="7" r:id="rId8"/>
    <sheet name="P8 Scenarios" sheetId="8" r:id="rId9"/>
    <sheet name="P9 NWC" sheetId="14" r:id="rId10"/>
    <sheet name="P10 Valuation" sheetId="9" r:id="rId11"/>
    <sheet name="P11 Conclusion" sheetId="10" r:id="rId12"/>
    <sheet name="P12 Instructor" sheetId="11" r:id="rId13"/>
  </sheets>
  <calcPr calcId="191029" iterate="1"/>
</workbook>
</file>

<file path=xl/calcChain.xml><?xml version="1.0" encoding="utf-8"?>
<calcChain xmlns="http://schemas.openxmlformats.org/spreadsheetml/2006/main">
  <c r="B51" i="9" l="1"/>
  <c r="B49" i="9"/>
  <c r="B46" i="9"/>
  <c r="B45" i="9"/>
  <c r="B44" i="9"/>
  <c r="B42" i="9"/>
  <c r="B23" i="9"/>
  <c r="I20" i="9"/>
  <c r="H21" i="9"/>
  <c r="G21" i="9"/>
  <c r="F21" i="9"/>
  <c r="E21" i="9"/>
  <c r="D21" i="9"/>
  <c r="C21" i="9"/>
  <c r="J19" i="9"/>
  <c r="B28" i="9"/>
  <c r="B24" i="9"/>
  <c r="I16" i="9" l="1"/>
  <c r="H16" i="9"/>
  <c r="G16" i="9"/>
  <c r="F16" i="9"/>
  <c r="E16" i="9"/>
  <c r="D16" i="9"/>
  <c r="C15" i="9"/>
  <c r="H20" i="14"/>
  <c r="G20" i="14"/>
  <c r="F20" i="14"/>
  <c r="E20" i="14"/>
  <c r="D20" i="14"/>
  <c r="C20" i="14"/>
  <c r="H18" i="14"/>
  <c r="G18" i="14"/>
  <c r="F18" i="14"/>
  <c r="E18" i="14"/>
  <c r="D18" i="14"/>
  <c r="C18" i="14"/>
  <c r="B18" i="14"/>
  <c r="H16" i="14"/>
  <c r="G16" i="14"/>
  <c r="F16" i="14"/>
  <c r="E16" i="14"/>
  <c r="D16" i="14"/>
  <c r="C16" i="14"/>
  <c r="B16" i="14"/>
  <c r="H14" i="14"/>
  <c r="G14" i="14"/>
  <c r="F14" i="14"/>
  <c r="E14" i="14"/>
  <c r="D14" i="14"/>
  <c r="C14" i="14"/>
  <c r="H13" i="14"/>
  <c r="G13" i="14"/>
  <c r="F13" i="14"/>
  <c r="E13" i="14"/>
  <c r="D13" i="14"/>
  <c r="C13" i="14"/>
  <c r="B14" i="14"/>
  <c r="B13" i="14"/>
  <c r="H9" i="14"/>
  <c r="G9" i="14"/>
  <c r="F9" i="14"/>
  <c r="E9" i="14"/>
  <c r="D9" i="14"/>
  <c r="C9" i="14"/>
  <c r="B9" i="14"/>
  <c r="H7" i="14"/>
  <c r="G7" i="14"/>
  <c r="F7" i="14"/>
  <c r="E7" i="14"/>
  <c r="D7" i="14"/>
  <c r="C7" i="14"/>
  <c r="B7" i="14"/>
  <c r="H6" i="14"/>
  <c r="G6" i="14"/>
  <c r="F6" i="14"/>
  <c r="E6" i="14"/>
  <c r="D6" i="14"/>
  <c r="C6" i="14"/>
  <c r="B6" i="14"/>
  <c r="C37" i="8"/>
  <c r="C35" i="8"/>
  <c r="B34" i="8"/>
  <c r="B37" i="8" s="1"/>
  <c r="B21" i="8"/>
  <c r="B24" i="8" s="1"/>
  <c r="C24" i="8"/>
  <c r="C22" i="8"/>
  <c r="B8" i="8"/>
  <c r="C11" i="8" l="1"/>
  <c r="B11" i="8"/>
  <c r="C9" i="8" l="1"/>
  <c r="I25" i="7"/>
  <c r="H25" i="7"/>
  <c r="G25" i="7"/>
  <c r="F25" i="7"/>
  <c r="E25" i="7"/>
  <c r="D25" i="7"/>
  <c r="I11" i="7"/>
  <c r="H11" i="7"/>
  <c r="G11" i="7"/>
  <c r="F11" i="7"/>
  <c r="E11" i="7"/>
  <c r="D11" i="7"/>
  <c r="I10" i="7"/>
  <c r="H10" i="7"/>
  <c r="G10" i="7"/>
  <c r="F10" i="7"/>
  <c r="E10" i="7"/>
  <c r="D10" i="7"/>
  <c r="I9" i="7"/>
  <c r="H9" i="7"/>
  <c r="G9" i="7"/>
  <c r="F9" i="7"/>
  <c r="E9" i="7"/>
  <c r="D9" i="7"/>
  <c r="I8" i="7"/>
  <c r="H8" i="7"/>
  <c r="G8" i="7"/>
  <c r="F8" i="7"/>
  <c r="E8" i="7"/>
  <c r="D8" i="7"/>
  <c r="I7" i="7"/>
  <c r="H7" i="7"/>
  <c r="G7" i="7"/>
  <c r="F7" i="7"/>
  <c r="E7" i="7"/>
  <c r="D7" i="7"/>
  <c r="I28" i="7" l="1"/>
  <c r="H28" i="7"/>
  <c r="G28" i="7"/>
  <c r="F28" i="7"/>
  <c r="E28" i="7"/>
  <c r="D28" i="7"/>
  <c r="C28" i="7"/>
  <c r="B53" i="6"/>
  <c r="C37" i="6"/>
  <c r="D37" i="6" s="1"/>
  <c r="D15" i="7" l="1"/>
  <c r="D16" i="7" s="1"/>
  <c r="E37" i="6"/>
  <c r="B57" i="6"/>
  <c r="B21" i="3"/>
  <c r="E15" i="7" l="1"/>
  <c r="E16" i="7" s="1"/>
  <c r="F37" i="6"/>
  <c r="B54" i="6"/>
  <c r="I46" i="6"/>
  <c r="H46" i="6"/>
  <c r="G46" i="6"/>
  <c r="F46" i="6"/>
  <c r="E46" i="6"/>
  <c r="D46" i="6"/>
  <c r="C46" i="6"/>
  <c r="B41" i="6"/>
  <c r="F15" i="7" l="1"/>
  <c r="F16" i="7" s="1"/>
  <c r="G37" i="6"/>
  <c r="B35" i="6"/>
  <c r="D34" i="6"/>
  <c r="E34" i="6" s="1"/>
  <c r="F34" i="6" s="1"/>
  <c r="G34" i="6" s="1"/>
  <c r="H34" i="6" s="1"/>
  <c r="I34" i="6" s="1"/>
  <c r="C34" i="6"/>
  <c r="D33" i="6"/>
  <c r="E33" i="6" s="1"/>
  <c r="F33" i="6" s="1"/>
  <c r="G33" i="6" s="1"/>
  <c r="H33" i="6" s="1"/>
  <c r="I33" i="6" s="1"/>
  <c r="C33" i="6"/>
  <c r="I32" i="6"/>
  <c r="H32" i="6"/>
  <c r="G32" i="6"/>
  <c r="F32" i="6"/>
  <c r="E32" i="6"/>
  <c r="D32" i="6"/>
  <c r="C32" i="6"/>
  <c r="G15" i="7" l="1"/>
  <c r="G16" i="7" s="1"/>
  <c r="H37" i="6"/>
  <c r="B32" i="6"/>
  <c r="B55" i="6"/>
  <c r="C47" i="6"/>
  <c r="I45" i="6"/>
  <c r="H45" i="6"/>
  <c r="G45" i="6"/>
  <c r="F45" i="6"/>
  <c r="E45" i="6"/>
  <c r="D45" i="6"/>
  <c r="C45" i="6"/>
  <c r="I20" i="6"/>
  <c r="H20" i="6"/>
  <c r="G20" i="6"/>
  <c r="F20" i="6"/>
  <c r="C20" i="6"/>
  <c r="E20" i="6" s="1"/>
  <c r="D20" i="6" l="1"/>
  <c r="H15" i="7"/>
  <c r="H16" i="7" s="1"/>
  <c r="I37" i="6"/>
  <c r="I15" i="7" s="1"/>
  <c r="I16" i="7" s="1"/>
  <c r="D47" i="6"/>
  <c r="B39" i="6"/>
  <c r="E47" i="6" l="1"/>
  <c r="B11" i="6"/>
  <c r="F47" i="6" l="1"/>
  <c r="I35" i="6"/>
  <c r="H35" i="6"/>
  <c r="G35" i="6"/>
  <c r="F35" i="6"/>
  <c r="E35" i="6"/>
  <c r="D35" i="6"/>
  <c r="C35" i="6"/>
  <c r="G47" i="6" l="1"/>
  <c r="H47" i="6" l="1"/>
  <c r="B37" i="6"/>
  <c r="B28" i="3"/>
  <c r="B30" i="3"/>
  <c r="B17" i="3"/>
  <c r="I10" i="6"/>
  <c r="H10" i="6"/>
  <c r="G10" i="6"/>
  <c r="F10" i="6"/>
  <c r="E10" i="6"/>
  <c r="D10" i="6"/>
  <c r="C10" i="6"/>
  <c r="I8" i="6"/>
  <c r="H8" i="6"/>
  <c r="G8" i="6"/>
  <c r="F8" i="6"/>
  <c r="E8" i="6"/>
  <c r="D8" i="6"/>
  <c r="C8" i="6"/>
  <c r="I7" i="6"/>
  <c r="H7" i="6"/>
  <c r="G7" i="6"/>
  <c r="F7" i="6"/>
  <c r="E7" i="6"/>
  <c r="D7" i="6"/>
  <c r="C7" i="6"/>
  <c r="B7" i="6"/>
  <c r="I6" i="6"/>
  <c r="H6" i="6"/>
  <c r="G6" i="6"/>
  <c r="F6" i="6"/>
  <c r="E6" i="6"/>
  <c r="D6" i="6"/>
  <c r="C6" i="6"/>
  <c r="I47" i="6" l="1"/>
  <c r="C11" i="6"/>
  <c r="C14" i="9" s="1"/>
  <c r="B6" i="6"/>
  <c r="D44" i="5"/>
  <c r="D45" i="5"/>
  <c r="C12" i="6" l="1"/>
  <c r="C11" i="9" s="1"/>
  <c r="D11" i="6"/>
  <c r="B37" i="5"/>
  <c r="B36" i="5"/>
  <c r="D12" i="6" l="1"/>
  <c r="D11" i="9" s="1"/>
  <c r="D14" i="9"/>
  <c r="C12" i="9"/>
  <c r="C13" i="9"/>
  <c r="C18" i="9" s="1"/>
  <c r="E11" i="6"/>
  <c r="E12" i="6" l="1"/>
  <c r="E11" i="9" s="1"/>
  <c r="E14" i="9"/>
  <c r="C20" i="9"/>
  <c r="D12" i="9"/>
  <c r="D13" i="9"/>
  <c r="D18" i="9" s="1"/>
  <c r="F11" i="6"/>
  <c r="B10" i="5"/>
  <c r="B9" i="5"/>
  <c r="F12" i="6" l="1"/>
  <c r="F11" i="9" s="1"/>
  <c r="F14" i="9"/>
  <c r="D20" i="9"/>
  <c r="E12" i="9"/>
  <c r="E13" i="9"/>
  <c r="E18" i="9" s="1"/>
  <c r="G11" i="6"/>
  <c r="B13" i="4"/>
  <c r="I11" i="4"/>
  <c r="C8" i="4"/>
  <c r="H9" i="4" s="1"/>
  <c r="H11" i="4" s="1"/>
  <c r="B11" i="4"/>
  <c r="G12" i="6" l="1"/>
  <c r="G11" i="9" s="1"/>
  <c r="G14" i="9"/>
  <c r="E20" i="9"/>
  <c r="F13" i="9"/>
  <c r="F18" i="9" s="1"/>
  <c r="F12" i="9"/>
  <c r="B5" i="5"/>
  <c r="B19" i="5" s="1"/>
  <c r="B45" i="5" s="1"/>
  <c r="B21" i="5"/>
  <c r="B7" i="5"/>
  <c r="B32" i="5"/>
  <c r="H11" i="6"/>
  <c r="I11" i="6"/>
  <c r="C9" i="4"/>
  <c r="C11" i="4" s="1"/>
  <c r="C13" i="4" s="1"/>
  <c r="E9" i="4"/>
  <c r="E11" i="4" s="1"/>
  <c r="D9" i="4"/>
  <c r="D11" i="4" s="1"/>
  <c r="F9" i="4"/>
  <c r="F11" i="4" s="1"/>
  <c r="G9" i="4"/>
  <c r="G11" i="4" s="1"/>
  <c r="F20" i="9" l="1"/>
  <c r="I12" i="6"/>
  <c r="I11" i="9" s="1"/>
  <c r="I14" i="9"/>
  <c r="H12" i="6"/>
  <c r="H11" i="9" s="1"/>
  <c r="H14" i="9"/>
  <c r="G12" i="9"/>
  <c r="G13" i="9"/>
  <c r="G18" i="9" s="1"/>
  <c r="B44" i="5"/>
  <c r="B13" i="5"/>
  <c r="C53" i="6"/>
  <c r="D53" i="6" s="1"/>
  <c r="B46" i="5"/>
  <c r="E26" i="5"/>
  <c r="E27" i="5" s="1"/>
  <c r="E29" i="5" s="1"/>
  <c r="D26" i="5"/>
  <c r="D27" i="5" s="1"/>
  <c r="D29" i="5" s="1"/>
  <c r="C26" i="5"/>
  <c r="C27" i="5" s="1"/>
  <c r="C29" i="5" s="1"/>
  <c r="B26" i="5"/>
  <c r="B27" i="5" s="1"/>
  <c r="B29" i="5" s="1"/>
  <c r="H28" i="5"/>
  <c r="B23" i="5"/>
  <c r="H26" i="5"/>
  <c r="H27" i="5" s="1"/>
  <c r="F26" i="5"/>
  <c r="F27" i="5" s="1"/>
  <c r="F29" i="5" s="1"/>
  <c r="G26" i="5"/>
  <c r="G27" i="5" s="1"/>
  <c r="G29" i="5" s="1"/>
  <c r="C38" i="6"/>
  <c r="C39" i="6" s="1"/>
  <c r="C41" i="6" s="1"/>
  <c r="C57" i="6" s="1"/>
  <c r="D13" i="4"/>
  <c r="C7" i="4"/>
  <c r="B7" i="4"/>
  <c r="D7" i="4"/>
  <c r="E7" i="4" s="1"/>
  <c r="G20" i="9" l="1"/>
  <c r="H12" i="9"/>
  <c r="H13" i="9"/>
  <c r="H18" i="9" s="1"/>
  <c r="I12" i="9"/>
  <c r="I13" i="9" s="1"/>
  <c r="I18" i="9" s="1"/>
  <c r="E53" i="6"/>
  <c r="D20" i="7"/>
  <c r="D38" i="6"/>
  <c r="E13" i="4"/>
  <c r="H29" i="5"/>
  <c r="C46" i="5"/>
  <c r="H14" i="5"/>
  <c r="B39" i="5"/>
  <c r="D46" i="5" s="1"/>
  <c r="I14" i="5"/>
  <c r="B14" i="5"/>
  <c r="F14" i="5"/>
  <c r="E14" i="5"/>
  <c r="G14" i="5"/>
  <c r="C14" i="5"/>
  <c r="B15" i="5"/>
  <c r="D14" i="5"/>
  <c r="C44" i="5"/>
  <c r="B48" i="5"/>
  <c r="C45" i="5"/>
  <c r="F7" i="4"/>
  <c r="C13" i="11"/>
  <c r="C12" i="11"/>
  <c r="C11" i="11"/>
  <c r="C10" i="11"/>
  <c r="C9" i="11"/>
  <c r="C8" i="11"/>
  <c r="C7" i="11"/>
  <c r="C6" i="11"/>
  <c r="C5" i="11"/>
  <c r="B15" i="11"/>
  <c r="F53" i="6" l="1"/>
  <c r="E20" i="7"/>
  <c r="H20" i="9"/>
  <c r="B16" i="5"/>
  <c r="C13" i="5" s="1"/>
  <c r="C15" i="5" s="1"/>
  <c r="C16" i="5" s="1"/>
  <c r="D13" i="5" s="1"/>
  <c r="D15" i="5" s="1"/>
  <c r="D16" i="5" s="1"/>
  <c r="E13" i="5" s="1"/>
  <c r="E15" i="5" s="1"/>
  <c r="E16" i="5" s="1"/>
  <c r="F13" i="5" s="1"/>
  <c r="F15" i="5" s="1"/>
  <c r="F16" i="5" s="1"/>
  <c r="G13" i="5" s="1"/>
  <c r="G15" i="5" s="1"/>
  <c r="G16" i="5" s="1"/>
  <c r="H13" i="5" s="1"/>
  <c r="H15" i="5" s="1"/>
  <c r="H16" i="5" s="1"/>
  <c r="I13" i="5" s="1"/>
  <c r="I15" i="5" s="1"/>
  <c r="I16" i="5"/>
  <c r="B51" i="5"/>
  <c r="E38" i="6"/>
  <c r="F13" i="4"/>
  <c r="D39" i="6"/>
  <c r="D41" i="6" s="1"/>
  <c r="D57" i="6" s="1"/>
  <c r="G7" i="4"/>
  <c r="C15" i="11"/>
  <c r="B17" i="11" s="1"/>
  <c r="I21" i="9" l="1"/>
  <c r="G53" i="6"/>
  <c r="F20" i="7"/>
  <c r="F38" i="6"/>
  <c r="G13" i="4"/>
  <c r="E39" i="6"/>
  <c r="E41" i="6" s="1"/>
  <c r="E57" i="6" s="1"/>
  <c r="H7" i="4"/>
  <c r="H53" i="6" l="1"/>
  <c r="G20" i="7"/>
  <c r="G38" i="6"/>
  <c r="H13" i="4"/>
  <c r="F39" i="6"/>
  <c r="F41" i="6" s="1"/>
  <c r="F57" i="6" s="1"/>
  <c r="D59" i="6"/>
  <c r="I53" i="6" l="1"/>
  <c r="I20" i="7" s="1"/>
  <c r="H20" i="7"/>
  <c r="H38" i="6"/>
  <c r="I13" i="4"/>
  <c r="I38" i="6" s="1"/>
  <c r="G39" i="6"/>
  <c r="G41" i="6" s="1"/>
  <c r="E59" i="6"/>
  <c r="F59" i="6"/>
  <c r="G57" i="6" l="1"/>
  <c r="G59" i="6" s="1"/>
  <c r="I39" i="6"/>
  <c r="I41" i="6" s="1"/>
  <c r="H39" i="6"/>
  <c r="H41" i="6" s="1"/>
  <c r="H57" i="6" l="1"/>
  <c r="H59" i="6" s="1"/>
  <c r="I57" i="6"/>
  <c r="I59" i="6" s="1"/>
  <c r="B50" i="6"/>
  <c r="B49" i="6" s="1"/>
  <c r="B25" i="9" s="1"/>
  <c r="B27" i="9" s="1"/>
  <c r="B29" i="9" s="1"/>
  <c r="B59" i="6"/>
  <c r="C59" i="6"/>
  <c r="C30" i="7"/>
  <c r="C34" i="9"/>
  <c r="D34" i="9"/>
  <c r="E34" i="9"/>
  <c r="F34" i="9"/>
  <c r="G34" i="9"/>
  <c r="H34" i="9"/>
  <c r="I34" i="9"/>
  <c r="J35" i="9"/>
  <c r="C36" i="9"/>
  <c r="D36" i="9"/>
  <c r="E36" i="9"/>
  <c r="F36" i="9"/>
  <c r="G36" i="9"/>
  <c r="H36" i="9"/>
  <c r="I36" i="9"/>
  <c r="C37" i="9"/>
  <c r="D37" i="9"/>
  <c r="E37" i="9"/>
  <c r="F37" i="9"/>
  <c r="G37" i="9"/>
  <c r="H37" i="9"/>
  <c r="I37" i="9"/>
  <c r="B39" i="9"/>
  <c r="B40" i="9"/>
  <c r="B50" i="9"/>
  <c r="C14" i="6"/>
  <c r="D14" i="6"/>
  <c r="E14" i="6"/>
  <c r="F14" i="6"/>
  <c r="G14" i="6"/>
  <c r="H14" i="6"/>
  <c r="I14" i="6"/>
  <c r="C16" i="6"/>
  <c r="D16" i="6"/>
  <c r="E16" i="6"/>
  <c r="F16" i="6"/>
  <c r="G16" i="6"/>
  <c r="H16" i="6"/>
  <c r="I16" i="6"/>
  <c r="C17" i="6"/>
  <c r="D17" i="6"/>
  <c r="E17" i="6"/>
  <c r="F17" i="6"/>
  <c r="G17" i="6"/>
  <c r="H17" i="6"/>
  <c r="I17" i="6"/>
  <c r="C18" i="6"/>
  <c r="D18" i="6"/>
  <c r="E18" i="6"/>
  <c r="F18" i="6"/>
  <c r="G18" i="6"/>
  <c r="H18" i="6"/>
  <c r="I18" i="6"/>
  <c r="C21" i="6"/>
  <c r="D21" i="6"/>
  <c r="E21" i="6"/>
  <c r="F21" i="6"/>
  <c r="G21" i="6"/>
  <c r="H21" i="6"/>
  <c r="I21" i="6"/>
  <c r="C24" i="6"/>
  <c r="D24" i="6"/>
  <c r="E24" i="6"/>
  <c r="F24" i="6"/>
  <c r="G24" i="6"/>
  <c r="H24" i="6"/>
  <c r="I24" i="6"/>
  <c r="C25" i="6"/>
  <c r="D25" i="6"/>
  <c r="E25" i="6"/>
  <c r="F25" i="6"/>
  <c r="G25" i="6"/>
  <c r="H25" i="6"/>
  <c r="I25" i="6"/>
  <c r="C49" i="6"/>
  <c r="D49" i="6"/>
  <c r="E49" i="6"/>
  <c r="F49" i="6"/>
  <c r="G49" i="6"/>
  <c r="H49" i="6"/>
  <c r="I49" i="6"/>
  <c r="C50" i="6"/>
  <c r="D50" i="6"/>
  <c r="E50" i="6"/>
  <c r="F50" i="6"/>
  <c r="G50" i="6"/>
  <c r="H50" i="6"/>
  <c r="I50" i="6"/>
  <c r="C54" i="6"/>
  <c r="D54" i="6"/>
  <c r="E54" i="6"/>
  <c r="F54" i="6"/>
  <c r="G54" i="6"/>
  <c r="H54" i="6"/>
  <c r="I54" i="6"/>
  <c r="C55" i="6"/>
  <c r="D55" i="6"/>
  <c r="E55" i="6"/>
  <c r="F55" i="6"/>
  <c r="G55" i="6"/>
  <c r="H55" i="6"/>
  <c r="I55" i="6"/>
  <c r="D6" i="7"/>
  <c r="E6" i="7"/>
  <c r="F6" i="7"/>
  <c r="G6" i="7"/>
  <c r="H6" i="7"/>
  <c r="I6" i="7"/>
  <c r="D12" i="7"/>
  <c r="E12" i="7"/>
  <c r="F12" i="7"/>
  <c r="G12" i="7"/>
  <c r="H12" i="7"/>
  <c r="I12" i="7"/>
  <c r="D19" i="7"/>
  <c r="E19" i="7"/>
  <c r="F19" i="7"/>
  <c r="G19" i="7"/>
  <c r="H19" i="7"/>
  <c r="I19" i="7"/>
  <c r="D21" i="7"/>
  <c r="E21" i="7"/>
  <c r="F21" i="7"/>
  <c r="G21" i="7"/>
  <c r="H21" i="7"/>
  <c r="I21" i="7"/>
  <c r="D22" i="7"/>
  <c r="E22" i="7"/>
  <c r="F22" i="7"/>
  <c r="G22" i="7"/>
  <c r="H22" i="7"/>
  <c r="I22" i="7"/>
  <c r="D24" i="7"/>
  <c r="E24" i="7"/>
  <c r="F24" i="7"/>
  <c r="G24" i="7"/>
  <c r="H24" i="7"/>
  <c r="I24" i="7"/>
  <c r="D26" i="7"/>
  <c r="E26" i="7"/>
  <c r="F26" i="7"/>
  <c r="G26" i="7"/>
  <c r="H26" i="7"/>
  <c r="I26" i="7"/>
  <c r="D30" i="7"/>
  <c r="E30" i="7"/>
  <c r="F30" i="7"/>
  <c r="G30" i="7"/>
  <c r="H30" i="7"/>
  <c r="I30" i="7"/>
  <c r="D9" i="8"/>
  <c r="E9" i="8"/>
  <c r="F9" i="8"/>
  <c r="G9" i="8"/>
  <c r="H9" i="8"/>
  <c r="I9" i="8"/>
  <c r="D11" i="8"/>
  <c r="E11" i="8"/>
  <c r="F11" i="8"/>
  <c r="G11" i="8"/>
  <c r="H11" i="8"/>
  <c r="I11" i="8"/>
  <c r="B14" i="8"/>
  <c r="B15" i="8"/>
  <c r="D22" i="8"/>
  <c r="E22" i="8"/>
  <c r="F22" i="8"/>
  <c r="G22" i="8"/>
  <c r="H22" i="8"/>
  <c r="I22" i="8"/>
  <c r="D24" i="8"/>
  <c r="E24" i="8"/>
  <c r="F24" i="8"/>
  <c r="G24" i="8"/>
  <c r="H24" i="8"/>
  <c r="I24" i="8"/>
  <c r="B27" i="8"/>
  <c r="B28" i="8"/>
  <c r="D35" i="8"/>
  <c r="E35" i="8"/>
  <c r="F35" i="8"/>
  <c r="G35" i="8"/>
  <c r="H35" i="8"/>
  <c r="I35" i="8"/>
  <c r="D37" i="8"/>
  <c r="E37" i="8"/>
  <c r="F37" i="8"/>
  <c r="G37" i="8"/>
  <c r="H37" i="8"/>
  <c r="I37" i="8"/>
  <c r="B40" i="8"/>
  <c r="B4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B18" authorId="0" shapeId="0" xr:uid="{9A6D2DDA-EC35-4F55-B3D6-A31FA29C1422}">
      <text>
        <r>
          <rPr>
            <b/>
            <sz val="9"/>
            <color indexed="81"/>
            <rFont val="Tahoma"/>
            <family val="2"/>
          </rPr>
          <t>STUDENT:</t>
        </r>
        <r>
          <rPr>
            <sz val="9"/>
            <color indexed="81"/>
            <rFont val="Tahoma"/>
            <family val="2"/>
          </rPr>
          <t xml:space="preserve">
WIT share price P0=P0​=2.39$: https://public.com/stocks/wit public.com</t>
        </r>
      </text>
    </comment>
    <comment ref="B19" authorId="0" shapeId="0" xr:uid="{F9E53B8D-2AF6-474B-B725-49D4EE6E2714}">
      <text>
        <r>
          <rPr>
            <b/>
            <sz val="9"/>
            <color indexed="81"/>
            <rFont val="Tahoma"/>
            <charset val="1"/>
          </rPr>
          <t>STUDENT:</t>
        </r>
        <r>
          <rPr>
            <sz val="9"/>
            <color indexed="81"/>
            <rFont val="Tahoma"/>
            <charset val="1"/>
          </rPr>
          <t xml:space="preserve">
WIT shares outstanding ≈10.49B≈10.49B: https://www.kraken.com/stocks/wit kraken.com</t>
        </r>
      </text>
    </comment>
    <comment ref="B25" authorId="0" shapeId="0" xr:uid="{228DEEA7-D1B6-4E73-B246-2F2AC2B12555}">
      <text>
        <r>
          <rPr>
            <b/>
            <sz val="9"/>
            <color indexed="81"/>
            <rFont val="Tahoma"/>
            <family val="2"/>
          </rPr>
          <t>STUDENT: www.wipro.com/content/dam/nexus/en/investor/annual-reports/2025-2026/20-f-fy25-26.pdf</t>
        </r>
        <r>
          <rPr>
            <sz val="9"/>
            <color indexed="81"/>
            <rFont val="Tahoma"/>
            <family val="2"/>
          </rPr>
          <t xml:space="preserve">
</t>
        </r>
      </text>
    </comment>
  </commentList>
</comments>
</file>

<file path=xl/sharedStrings.xml><?xml version="1.0" encoding="utf-8"?>
<sst xmlns="http://schemas.openxmlformats.org/spreadsheetml/2006/main" count="579" uniqueCount="409">
  <si>
    <t>EBIT</t>
  </si>
  <si>
    <t>Net Income</t>
  </si>
  <si>
    <t>Dividends</t>
  </si>
  <si>
    <t>Key Assumptions</t>
  </si>
  <si>
    <t>EPS</t>
  </si>
  <si>
    <t>FCF</t>
  </si>
  <si>
    <t>DFCF</t>
  </si>
  <si>
    <t>Financial Plan</t>
  </si>
  <si>
    <t>Income tax</t>
  </si>
  <si>
    <t>Gross earnings</t>
  </si>
  <si>
    <t>Net income/Loss</t>
  </si>
  <si>
    <t>Current assets</t>
  </si>
  <si>
    <t>Total short term assets</t>
  </si>
  <si>
    <t>Accumulated amortization</t>
  </si>
  <si>
    <t>Net assets</t>
  </si>
  <si>
    <t>TOTAL ASSETS</t>
  </si>
  <si>
    <t>EQUITY AND LIABILITIES</t>
  </si>
  <si>
    <t>Current liabilities</t>
  </si>
  <si>
    <t>Total short term liabilities</t>
  </si>
  <si>
    <t>Long term debt</t>
  </si>
  <si>
    <t>Equity</t>
  </si>
  <si>
    <t>Shareholders Equity</t>
  </si>
  <si>
    <t>Total Equity</t>
  </si>
  <si>
    <t>TOTAL EQUITY AND LIABILITIES</t>
  </si>
  <si>
    <t>CF from Operating activities</t>
  </si>
  <si>
    <t>Net income/loss</t>
  </si>
  <si>
    <t xml:space="preserve">   +  Amortization</t>
  </si>
  <si>
    <t xml:space="preserve">    -  Receivables</t>
  </si>
  <si>
    <t xml:space="preserve">    -  Stocks</t>
  </si>
  <si>
    <t xml:space="preserve">   +  Payables</t>
  </si>
  <si>
    <t>Total CF from operating activities</t>
  </si>
  <si>
    <t>CF from Investment activities</t>
  </si>
  <si>
    <t xml:space="preserve">    -  CAPEX</t>
  </si>
  <si>
    <t>Total CF from Investment activities</t>
  </si>
  <si>
    <t>CF from finance activities</t>
  </si>
  <si>
    <t xml:space="preserve">   +  Long term debt</t>
  </si>
  <si>
    <t xml:space="preserve">   +  Equity</t>
  </si>
  <si>
    <t xml:space="preserve">    -  Dividends</t>
  </si>
  <si>
    <t>Total CF from finance activities</t>
  </si>
  <si>
    <t>Change of cash</t>
  </si>
  <si>
    <t>Cash at end of period</t>
  </si>
  <si>
    <t>Cash at beggining period</t>
  </si>
  <si>
    <t>+AMORTIZATION</t>
  </si>
  <si>
    <t>-CAPEX</t>
  </si>
  <si>
    <t>- NWC change</t>
  </si>
  <si>
    <t>Terminal value</t>
  </si>
  <si>
    <t>Company value</t>
  </si>
  <si>
    <t>ASSETS</t>
  </si>
  <si>
    <t>Total  Liabilities</t>
  </si>
  <si>
    <t>Year 1</t>
  </si>
  <si>
    <t>Year 2</t>
  </si>
  <si>
    <t>Year 3</t>
  </si>
  <si>
    <t>Year 4</t>
  </si>
  <si>
    <t>Year 5</t>
  </si>
  <si>
    <t>Year 6</t>
  </si>
  <si>
    <t>Year 7</t>
  </si>
  <si>
    <t>EBT</t>
  </si>
  <si>
    <t>Net income/Loss share</t>
  </si>
  <si>
    <t>CHECK</t>
  </si>
  <si>
    <t>Check</t>
  </si>
  <si>
    <t>NOPAT</t>
  </si>
  <si>
    <t>Stock price based on FCF</t>
  </si>
  <si>
    <t>Stock price based on Dividends</t>
  </si>
  <si>
    <t xml:space="preserve">MBA </t>
  </si>
  <si>
    <t>COURSE : FINANCIAL MANAGEMENT (FM)</t>
  </si>
  <si>
    <t>The goal is to apply in practice the financial tools you have learned on FM lectures.</t>
  </si>
  <si>
    <t>GLOBAL CASE STUDY  : FINANCIAL MODEL</t>
  </si>
  <si>
    <t>It is a specific task whose solution makes it possible to understand and manage corporate finance in any company.</t>
  </si>
  <si>
    <t xml:space="preserve">In this page you will determine the risk of investment (CAPEX) using different techniques for measuring investment profitability. </t>
  </si>
  <si>
    <t>Good luck</t>
  </si>
  <si>
    <t>Instructor</t>
  </si>
  <si>
    <t>Summary</t>
  </si>
  <si>
    <r>
      <t>Objective:</t>
    </r>
    <r>
      <rPr>
        <sz val="11"/>
        <color rgb="FF222222"/>
        <rFont val="Arial"/>
        <family val="2"/>
      </rPr>
      <t xml:space="preserve"> </t>
    </r>
  </si>
  <si>
    <t>P1 Tips'!A1</t>
  </si>
  <si>
    <t>P2 History'!A1</t>
  </si>
  <si>
    <t>P3 Inputs'!A1</t>
  </si>
  <si>
    <t>P4 Assets amortization'!A1</t>
  </si>
  <si>
    <t>P5 Cost of capital'!A1</t>
  </si>
  <si>
    <t>P7 CF''s projection'!A1</t>
  </si>
  <si>
    <t>P8 Scenarios'!A1</t>
  </si>
  <si>
    <t xml:space="preserve">Cash Flows (CF's). To do this, your assignment is to create an excel financial model based on sheets P2 and P3 where you will have manually </t>
  </si>
  <si>
    <t>added figures/tables and based on sheets P4 to P9 where you will have to add the calculations in requested fields with formulas.</t>
  </si>
  <si>
    <t>Once completed all sheets from P1 to P9 you have to conclude based on obtained results : profitability of your investment, optimal capital structuire, Company value and associated risks</t>
  </si>
  <si>
    <t>Assignment :</t>
  </si>
  <si>
    <t>Methodology :</t>
  </si>
  <si>
    <t>To deliver efficiently the assignment you should start from historical figures from balance sheet, P&amp;L and CF statement in P2.</t>
  </si>
  <si>
    <t>Then in P4 you will have to calculate the amortization of your asset which is necessary for your P&amp;L.</t>
  </si>
  <si>
    <t>In P5 you will be required to calculate the costs of your capital : loans, bonds, stocks and WACC which is necessary for discounting of your CF's.</t>
  </si>
  <si>
    <t>Once you do all this, you can go in P6 where the P&amp;L projection is to be done.</t>
  </si>
  <si>
    <t>Based on your P&amp;L projection and other balance sheet items you can do the P7 CF's projection.</t>
  </si>
  <si>
    <t>Once you have your CF's you can do different scenarios (best case, base case and worst case) in P8.</t>
  </si>
  <si>
    <t>Page 1 Tips is there to help you with some recommendations and suggestions in order to deliver your model as expected by your management.</t>
  </si>
  <si>
    <t>This page will help to understand and explain the optimal capital structure.</t>
  </si>
  <si>
    <t>Before you start this assignment it is important that you complete all lectures and case studies in excel from course FM.</t>
  </si>
  <si>
    <t>TIPS</t>
  </si>
  <si>
    <t>Do not add manually figures in cells, except in P3 Inputs sheet</t>
  </si>
  <si>
    <t>All sheets and cells have to be connected in a model using excel formulas</t>
  </si>
  <si>
    <t>Do not change the form or order of sheets</t>
  </si>
  <si>
    <t>Do not add lines or columns</t>
  </si>
  <si>
    <t>You need a short Introduction in P2 History, short Explanations are to be added in cells for explanation in different sheets, and a short Conclusion in P10 sheet</t>
  </si>
  <si>
    <t>An additional plus is if you have good financial and adequate formulas in excel. In the model everything must be linked with formulas in excel such as (sum, if, NPV, IRR, PMT etc)</t>
  </si>
  <si>
    <t xml:space="preserve">In P10 Conclusion sheet you are expected to give the answers : </t>
  </si>
  <si>
    <t>Whether your stocks are overvalued or undervalued ?</t>
  </si>
  <si>
    <t xml:space="preserve">How to increase the value of a company for owners ? </t>
  </si>
  <si>
    <t>Is the financing structure optimal?</t>
  </si>
  <si>
    <t>If you use some external sources, especially in P2 and P3, you have to put data sources and to explain where have you found your datas and inputs</t>
  </si>
  <si>
    <t>You can contact lecturer for any questions at the beginning, during or at the end of the Assignment</t>
  </si>
  <si>
    <t xml:space="preserve">Is IRR acceptable to Investors? </t>
  </si>
  <si>
    <t xml:space="preserve">Do not stop if you can not complete one of the sheets. In such case you can continue on next sheet. </t>
  </si>
  <si>
    <t>If you need results from previous sheet and you have not been able to do previous sheet add figures manually in previous sheet even if you wil not get points for that.</t>
  </si>
  <si>
    <t>Company</t>
  </si>
  <si>
    <t>Logo</t>
  </si>
  <si>
    <t>Short History</t>
  </si>
  <si>
    <t>Founded by :</t>
  </si>
  <si>
    <t>Founded in year</t>
  </si>
  <si>
    <t>Main activities</t>
  </si>
  <si>
    <t>Curent CEO</t>
  </si>
  <si>
    <t>Current Number of stocks</t>
  </si>
  <si>
    <t>Current Stock price</t>
  </si>
  <si>
    <t>History of company</t>
  </si>
  <si>
    <t>Balance sheet</t>
  </si>
  <si>
    <t>P&amp;L</t>
  </si>
  <si>
    <t>CF Statement</t>
  </si>
  <si>
    <t>Other useful infos if necessary</t>
  </si>
  <si>
    <t>Inputs of company</t>
  </si>
  <si>
    <t>Do calculations only in cells with blue color. Inputs are added manually in green color.</t>
  </si>
  <si>
    <t>First projection year is N+1 (or Year 1) which is based on previous year N</t>
  </si>
  <si>
    <t>Year N (Year 0) is the last realized year in your P&amp;L, Balance sheet and CF statement added in P2 sheet</t>
  </si>
  <si>
    <t>You have just been hired as CFO by company defined in P2 History sheet. Your first assignment is to Value the company based on historical values and projected</t>
  </si>
  <si>
    <t>Sales increase/Decrease in %</t>
  </si>
  <si>
    <t>COGS increase/Decrease in %</t>
  </si>
  <si>
    <t>Income tax in %</t>
  </si>
  <si>
    <t>Interest rate Loan financing in %</t>
  </si>
  <si>
    <t>Year 0</t>
  </si>
  <si>
    <t>New Capex</t>
  </si>
  <si>
    <t>New Capex as % of Total Revenues</t>
  </si>
  <si>
    <t>LONG TERM FINANCING</t>
  </si>
  <si>
    <t>CAPEX</t>
  </si>
  <si>
    <t>Interest rate / year</t>
  </si>
  <si>
    <t>Number of years</t>
  </si>
  <si>
    <t>Year</t>
  </si>
  <si>
    <t>Loan balance</t>
  </si>
  <si>
    <t>Payment-annuity</t>
  </si>
  <si>
    <t>Interest value</t>
  </si>
  <si>
    <t>Principal value</t>
  </si>
  <si>
    <t xml:space="preserve">Number of Periods to Maturity </t>
  </si>
  <si>
    <t>Coupon rate</t>
  </si>
  <si>
    <t>Cost of Capital</t>
  </si>
  <si>
    <t>Bank Loan</t>
  </si>
  <si>
    <t>WACC</t>
  </si>
  <si>
    <t>Face value</t>
  </si>
  <si>
    <t>Coupon rate Bond financing in %</t>
  </si>
  <si>
    <t>Bond Balance</t>
  </si>
  <si>
    <t>Coupons</t>
  </si>
  <si>
    <t>Coupons and principal</t>
  </si>
  <si>
    <t>Net Income/Loss</t>
  </si>
  <si>
    <t>Bonds</t>
  </si>
  <si>
    <t>Cost of capital</t>
  </si>
  <si>
    <t>Cost of Equity</t>
  </si>
  <si>
    <t xml:space="preserve">Figures are in </t>
  </si>
  <si>
    <t>Growth rate of dividends forever</t>
  </si>
  <si>
    <t>Total CAPEX Financing</t>
  </si>
  <si>
    <t>Nmber of years of Capex project</t>
  </si>
  <si>
    <t xml:space="preserve">Total Sales </t>
  </si>
  <si>
    <t xml:space="preserve">General and administrative costs </t>
  </si>
  <si>
    <t>Amortisation</t>
  </si>
  <si>
    <t>Financial Interests</t>
  </si>
  <si>
    <t xml:space="preserve">Number of stocks </t>
  </si>
  <si>
    <t xml:space="preserve">COGS </t>
  </si>
  <si>
    <t>General and Administrative costs</t>
  </si>
  <si>
    <t>Retained earnings/Deferred losses</t>
  </si>
  <si>
    <t>Cash Increase/Decrease in %</t>
  </si>
  <si>
    <t>Receivables (% of sales)</t>
  </si>
  <si>
    <t>Payables (% of COGS)</t>
  </si>
  <si>
    <t>Stocks (% of COGS)</t>
  </si>
  <si>
    <t xml:space="preserve">Cash </t>
  </si>
  <si>
    <t xml:space="preserve">Stocks </t>
  </si>
  <si>
    <t>Receivables</t>
  </si>
  <si>
    <t>Tangible assets</t>
  </si>
  <si>
    <t xml:space="preserve">Payables </t>
  </si>
  <si>
    <t>Other Liabilities</t>
  </si>
  <si>
    <t>Other liabilities (% of COGS)</t>
  </si>
  <si>
    <t>Financial Statements Statement of Company</t>
  </si>
  <si>
    <t>Retained earnings/deferred Losses</t>
  </si>
  <si>
    <t>Cash Flow Statement of Company</t>
  </si>
  <si>
    <t>Cash Flow statement (in thousand)</t>
  </si>
  <si>
    <t xml:space="preserve">    +  Other Liabilities</t>
  </si>
  <si>
    <t>Total cash from Balance sheet</t>
  </si>
  <si>
    <t>Scenarios Analysis</t>
  </si>
  <si>
    <t>Amount</t>
  </si>
  <si>
    <t>Weight</t>
  </si>
  <si>
    <t>Cash Flows</t>
  </si>
  <si>
    <t>Total Cash Flows</t>
  </si>
  <si>
    <t>Cash Flows resulting from new CAPEX in %</t>
  </si>
  <si>
    <t>CAPEX increase in Worst case scenario 2 in %</t>
  </si>
  <si>
    <t>CF's increase in Best case scenario 3 in %</t>
  </si>
  <si>
    <t>CAPEX reduction in Best case scenario 3 in %</t>
  </si>
  <si>
    <t>CF's reduction in Worst case scenario 2 in %</t>
  </si>
  <si>
    <t>NPV 3</t>
  </si>
  <si>
    <t>IRR 3</t>
  </si>
  <si>
    <t>NPV 2</t>
  </si>
  <si>
    <t>IRR 2</t>
  </si>
  <si>
    <t>NPV 1</t>
  </si>
  <si>
    <t>IRR 1</t>
  </si>
  <si>
    <t>Company Valuation</t>
  </si>
  <si>
    <t>P9 NWC'!A1</t>
  </si>
  <si>
    <t>P10 Valuation'!A1</t>
  </si>
  <si>
    <t>P11 Conclusion'!A1</t>
  </si>
  <si>
    <t>In P9 you will have to determine you Net Working Capital which is important to know in case of liquidity problems and need for short term company financing.</t>
  </si>
  <si>
    <t>In P10 you are requested to do the Valuation of your company, consequently to calculate the Equity value and stock price.</t>
  </si>
  <si>
    <t>At end, in P11 you have to conclude all and bring conclusion and recommendations based on obtained results from pages 2-10.</t>
  </si>
  <si>
    <t>Instructor will give the comments and grade based on all sheets in P12.</t>
  </si>
  <si>
    <t>P12 Instructor'!A1</t>
  </si>
  <si>
    <t xml:space="preserve">Net Working Capital </t>
  </si>
  <si>
    <t>Curent Assets</t>
  </si>
  <si>
    <t>Stocks</t>
  </si>
  <si>
    <t>Curent Liabilities</t>
  </si>
  <si>
    <t>Payables</t>
  </si>
  <si>
    <t>Total Current assets</t>
  </si>
  <si>
    <t>Total Current liabilities</t>
  </si>
  <si>
    <t>NWC</t>
  </si>
  <si>
    <t>Increase/Decrease of NWC</t>
  </si>
  <si>
    <t>YEARS</t>
  </si>
  <si>
    <t>&gt;7</t>
  </si>
  <si>
    <t>Growth rate of FCF forever</t>
  </si>
  <si>
    <t>(amounts in thousands)</t>
  </si>
  <si>
    <t>Total FCF with Terminal value</t>
  </si>
  <si>
    <t>Cash</t>
  </si>
  <si>
    <t>Number of Shares</t>
  </si>
  <si>
    <t>Market price</t>
  </si>
  <si>
    <t>Stock price based on FCF * 1000</t>
  </si>
  <si>
    <t>PER</t>
  </si>
  <si>
    <t>Market Capitalization</t>
  </si>
  <si>
    <t>Terminal Value</t>
  </si>
  <si>
    <t>Total Dividends with Terminal value</t>
  </si>
  <si>
    <t>Discounted Dividends</t>
  </si>
  <si>
    <t xml:space="preserve">Total Revenues in last realized year </t>
  </si>
  <si>
    <t xml:space="preserve"> COGS in last realized year </t>
  </si>
  <si>
    <t>Net Income/Loss in last realized year</t>
  </si>
  <si>
    <t>Cash balance  in last realized year</t>
  </si>
  <si>
    <t>Accumulated amortization in last realized year</t>
  </si>
  <si>
    <t>Shareholders Equity inlast realized year</t>
  </si>
  <si>
    <t>Tangible (Net Fixed) Assets) in last year</t>
  </si>
  <si>
    <t>Retained Earnings/Deferred Losses in last year</t>
  </si>
  <si>
    <t xml:space="preserve">Equity based on FCF </t>
  </si>
  <si>
    <t xml:space="preserve">Equity based on Dividends </t>
  </si>
  <si>
    <t xml:space="preserve">Stock price based on Dividends*1000 </t>
  </si>
  <si>
    <t>Summary Stock valuation</t>
  </si>
  <si>
    <t>Conclusion</t>
  </si>
  <si>
    <t xml:space="preserve">Is your CAPEX used in Page 8 profitable in Base Case Scenario ? </t>
  </si>
  <si>
    <t>What are the conclusions of Best case and Worst case Scenarios compared to Base Case Scenario ?</t>
  </si>
  <si>
    <t>What is your IRR in Base case scenario compared to WACC (page 5) and what conclusion you can make from it ?</t>
  </si>
  <si>
    <t xml:space="preserve">Is your capital structure used for CAPEX financing is well structured ? </t>
  </si>
  <si>
    <t>Explain what would you do to make it more optimal, if possible ?</t>
  </si>
  <si>
    <t xml:space="preserve"> Is your NWC optimal ? </t>
  </si>
  <si>
    <t xml:space="preserve">What would you do to improve your NWC ? </t>
  </si>
  <si>
    <t>Do you have cash gaps and how would you finance it ?</t>
  </si>
  <si>
    <t xml:space="preserve">What do you think about the profitability in projected P&amp;L and can you identify any problem there ? </t>
  </si>
  <si>
    <t>Is your balance sheet well structured and are there any issues ?</t>
  </si>
  <si>
    <t xml:space="preserve">What would you do as a CFO to increase the company value ? </t>
  </si>
  <si>
    <t>Is the company market stock price overvalued or undervalued compared to obtained intrinsic values of stock price based on FCF and Dividends ?</t>
  </si>
  <si>
    <t xml:space="preserve">Explain how you would further increase IRR and/or reduce WACC and increase the Company value. </t>
  </si>
  <si>
    <t>What do you suggest to your Management Board as an incentive to achieve the planned goals of raising the company's value and stock price.</t>
  </si>
  <si>
    <t>Instructor comments and Grade</t>
  </si>
  <si>
    <t>Pages</t>
  </si>
  <si>
    <t>Points</t>
  </si>
  <si>
    <t>Max Points</t>
  </si>
  <si>
    <t>P6 P&amp;L and BS Projection'!A1</t>
  </si>
  <si>
    <t xml:space="preserve">Total </t>
  </si>
  <si>
    <t>Student Points</t>
  </si>
  <si>
    <t>Grade in %</t>
  </si>
  <si>
    <t>General Instructor Comments</t>
  </si>
  <si>
    <t>Grading scale:</t>
  </si>
  <si>
    <t>KUSD</t>
  </si>
  <si>
    <t>Bank Loan (5 points)</t>
  </si>
  <si>
    <t>Bonds (5 points)</t>
  </si>
  <si>
    <t>Equity (5 points)</t>
  </si>
  <si>
    <t>P&amp;L (in thousands) (7 points)</t>
  </si>
  <si>
    <t>BALANCE SHEET (in thousands) (8 points)</t>
  </si>
  <si>
    <t>SCENARIO 3 BEST CASE : (3 points)</t>
  </si>
  <si>
    <t>SCENARIO 2 WORST CASE : (3 points)</t>
  </si>
  <si>
    <t>SCENARIO 1 BASE CASE : (4 points)</t>
  </si>
  <si>
    <t>FCF CALCULATION (8 points)</t>
  </si>
  <si>
    <t>DIVIDENDS CALCULATION (7 points)</t>
  </si>
  <si>
    <t>Capital Structure (5 points)</t>
  </si>
  <si>
    <t>Financial Statements Analysis (5 points)</t>
  </si>
  <si>
    <t>Profitability (5 points)</t>
  </si>
  <si>
    <t>Valuation (5 points)</t>
  </si>
  <si>
    <t>Total % in  Assignment is 100%, while every sheet will be graded separately based on maximum points defined in each sheet.</t>
  </si>
  <si>
    <t>Do not copy paste data or form from preparatory case which has to be used only to help students to understand the Final Assignment.</t>
  </si>
  <si>
    <t>Dividends Pay out ratio in %</t>
  </si>
  <si>
    <t>In P3 you will add manually in cells in green color the main inputs that you need to project your future P&amp;L and  CF's, except in the cells that are pre-defined (already filled)</t>
  </si>
  <si>
    <t>Long Term Assets Depreciation/Amortization</t>
  </si>
  <si>
    <t>D&amp;A of LT assets</t>
  </si>
  <si>
    <t>Existing annual D&amp;A</t>
  </si>
  <si>
    <t>New CAPEX D&amp;A</t>
  </si>
  <si>
    <t>Total Assets D&amp;A cost</t>
  </si>
  <si>
    <t>Cumulated Assets D&amp;A cost</t>
  </si>
  <si>
    <t>to be used in scenario analysis (P8)</t>
  </si>
  <si>
    <t>Web Sources :</t>
  </si>
  <si>
    <t>Muhammed Hashim Premji</t>
  </si>
  <si>
    <t>29 December 1945, India</t>
  </si>
  <si>
    <t>Srini Pallia</t>
  </si>
  <si>
    <t>Wipro Limited is an Indian multinational technology company based in Bengaluru. It provides information technology, consulting and business process services, and is one of India's Big Six IT services companies.</t>
  </si>
  <si>
    <t>https://www.wipro.com/</t>
  </si>
  <si>
    <t>Wipro Limited</t>
  </si>
  <si>
    <t>Period Ending:</t>
  </si>
  <si>
    <t>3/31/2026</t>
  </si>
  <si>
    <t>3/31/2025</t>
  </si>
  <si>
    <t>3/31/2024</t>
  </si>
  <si>
    <t>Current Assets</t>
  </si>
  <si>
    <t>Cash and Cash Equivalents</t>
  </si>
  <si>
    <t>Short-Term Investments</t>
  </si>
  <si>
    <t>Net Receivables</t>
  </si>
  <si>
    <t>Inventory</t>
  </si>
  <si>
    <t>Other Current Assets</t>
  </si>
  <si>
    <t>Total Current Assets</t>
  </si>
  <si>
    <t>Long-Term Assets</t>
  </si>
  <si>
    <t>Long-Term Investments</t>
  </si>
  <si>
    <t>Fixed Assets</t>
  </si>
  <si>
    <t>Goodwill</t>
  </si>
  <si>
    <t>Intangible Assets</t>
  </si>
  <si>
    <t>Other Assets</t>
  </si>
  <si>
    <t>Deferred Asset Charges</t>
  </si>
  <si>
    <t>Total Assets</t>
  </si>
  <si>
    <t>Current Liabilities</t>
  </si>
  <si>
    <t>Accounts Payable</t>
  </si>
  <si>
    <t>Short-Term Debt / Current Portion of Long-Term Debt</t>
  </si>
  <si>
    <t>Other Current Liabilities</t>
  </si>
  <si>
    <t>Total Current Liabilities</t>
  </si>
  <si>
    <t>Long-Term Debt</t>
  </si>
  <si>
    <t>Deferred Liability Charges</t>
  </si>
  <si>
    <t>Misc. Stocks</t>
  </si>
  <si>
    <t>Minority Interest</t>
  </si>
  <si>
    <t>--</t>
  </si>
  <si>
    <t>Total Liabilities</t>
  </si>
  <si>
    <t>Stock Holders Equity</t>
  </si>
  <si>
    <t>Common Stocks</t>
  </si>
  <si>
    <t>Capital Surplus</t>
  </si>
  <si>
    <t>Retained Earnings</t>
  </si>
  <si>
    <t>Treasury Stock</t>
  </si>
  <si>
    <t>Other Equity</t>
  </si>
  <si>
    <t>Total Liabilities &amp; Equity</t>
  </si>
  <si>
    <t>https://www.nasdaq.com/market-activity/stocks/wit/financials</t>
  </si>
  <si>
    <t>Cash Flows-Operating Activities</t>
  </si>
  <si>
    <t>Depreciation</t>
  </si>
  <si>
    <t>Net Income Adjustments</t>
  </si>
  <si>
    <t>Changes in Operating Activities</t>
  </si>
  <si>
    <t>Accounts Receivable</t>
  </si>
  <si>
    <t>Changes in Inventories</t>
  </si>
  <si>
    <t>Other Operating Activities</t>
  </si>
  <si>
    <t>Liabilities</t>
  </si>
  <si>
    <t>Net Cash Flow-Operating</t>
  </si>
  <si>
    <t>Cash Flows-Investing Activities</t>
  </si>
  <si>
    <t>Capital Expenditures</t>
  </si>
  <si>
    <t>Investments</t>
  </si>
  <si>
    <t>Other Investing Activities</t>
  </si>
  <si>
    <t>Net Cash Flows-Investing</t>
  </si>
  <si>
    <t>Cash Flows-Financing Activities</t>
  </si>
  <si>
    <t>Sale and Purchase of Stock</t>
  </si>
  <si>
    <t>Net Borrowings</t>
  </si>
  <si>
    <t>Other Financing Activities</t>
  </si>
  <si>
    <t>Net Cash Flows-Financing</t>
  </si>
  <si>
    <t>Effect of Exchange Rate</t>
  </si>
  <si>
    <t>Net Cash Flow</t>
  </si>
  <si>
    <t>Total Revenue</t>
  </si>
  <si>
    <t>Cost of Revenue</t>
  </si>
  <si>
    <t>Gross Profit</t>
  </si>
  <si>
    <t>Operating Expenses</t>
  </si>
  <si>
    <t>Research and Development</t>
  </si>
  <si>
    <t>Sales, General and Admin.</t>
  </si>
  <si>
    <t>Non-Recurring Items</t>
  </si>
  <si>
    <t>Other Operating Items</t>
  </si>
  <si>
    <t>Operating Income</t>
  </si>
  <si>
    <t>Add'l income/expense items</t>
  </si>
  <si>
    <t>Earnings Before Interest and Tax</t>
  </si>
  <si>
    <t>Interest Expense</t>
  </si>
  <si>
    <t>Earnings Before Tax</t>
  </si>
  <si>
    <t>Income Tax</t>
  </si>
  <si>
    <t>Equity Earnings/Loss Unconsolidated Subsidiary</t>
  </si>
  <si>
    <t>Net Income-Cont. Operations</t>
  </si>
  <si>
    <t>Net Income Applicable to Common Shareholders</t>
  </si>
  <si>
    <t>Year N</t>
  </si>
  <si>
    <t>Year N-1</t>
  </si>
  <si>
    <t>Year N-2</t>
  </si>
  <si>
    <r>
      <t>Total</t>
    </r>
    <r>
      <rPr>
        <sz val="10"/>
        <rFont val="Arial"/>
        <family val="2"/>
      </rPr>
      <t xml:space="preserve"> Assets D&amp;A cost:</t>
    </r>
    <r>
      <rPr>
        <sz val="10"/>
        <rFont val="Arial"/>
        <family val="2"/>
      </rPr>
      <t xml:space="preserve"> each year’s total is simply Existing</t>
    </r>
    <r>
      <rPr>
        <sz val="10"/>
        <rFont val="Arial"/>
        <family val="2"/>
      </rPr>
      <t xml:space="preserve"> annual D&amp;A + New CAPEX D&amp;A</t>
    </r>
    <r>
      <rPr>
        <sz val="10"/>
        <rFont val="Arial"/>
        <family val="2"/>
      </rPr>
      <t>.</t>
    </r>
  </si>
  <si>
    <r>
      <t>Cumulated</t>
    </r>
    <r>
      <rPr>
        <sz val="10"/>
        <rFont val="Arial"/>
        <family val="2"/>
      </rPr>
      <t xml:space="preserve"> Assets D&amp;A cost:</t>
    </r>
    <r>
      <rPr>
        <sz val="10"/>
        <rFont val="Arial"/>
        <family val="2"/>
      </rPr>
      <t xml:space="preserve"> it’s the running total of Total</t>
    </r>
    <r>
      <rPr>
        <sz val="10"/>
        <rFont val="Arial"/>
        <family val="2"/>
      </rPr>
      <t xml:space="preserve"> Assets D&amp;A cost</t>
    </r>
    <r>
      <rPr>
        <sz val="10"/>
        <rFont val="Arial"/>
        <family val="2"/>
      </rPr>
      <t xml:space="preserve"> across the years shown.</t>
    </r>
  </si>
  <si>
    <t xml:space="preserve">Coupon Payment </t>
  </si>
  <si>
    <t>Existing LT assets: carry forwarded the average depreciation from the last 3 realized years ($3,54,000 per year)</t>
  </si>
  <si>
    <t>New CAPEX: added a single CAPEX amount at the start of Year 1 (= beginning of Year N+1) equal to 10% of Total Revenue in Year N+1 ($9,76,500). In your table, New Capex appears only in Year 1.</t>
  </si>
  <si>
    <t>New CAPEX D&amp;A: amortized that CAPEX using straight-line over 7 years, so New CAPEX D&amp;A = $9,76,500 / 7 = $1,39,500 per year shown in Year 1 through Year 6, and 0 in Year 7.</t>
  </si>
  <si>
    <t>Assumptions</t>
  </si>
  <si>
    <t>Total tangible assets</t>
  </si>
  <si>
    <t>NPV&gt;0 means investment is profitable</t>
  </si>
  <si>
    <t>IRR has to be compared with cost of capital. In this company IRR is higher then cost of capital which is acceptable.</t>
  </si>
  <si>
    <t>Compare Market price vs intrinsic values:  vs FCF intrinsic (1.783): 2.39 &gt; 1.783 ⇒ overvalued (by ≈ (2.39/1.783 − 1) = 34.1% ,                                  vs Dividend intrinsic (1.277): 2.39 &gt; 1.277 ⇒ overvalued (by ≈ (2.39/1.277 − 1) = 87.3%)</t>
  </si>
  <si>
    <t>To increase company value on the whole want higher IRR on reinvestment , capital projects or keeping lower WACC. Higher IRR- Lower WACC.</t>
  </si>
  <si>
    <t>In Base Case Scenario NPV&gt;0 means investment is profitable ,  IRR has to be compared with cost of capital. In this company IRR is higher then cost of capital which is acceptable.</t>
  </si>
  <si>
    <t>In Base Case scenario IRR=25.13%  and WACC=5.05% , IRR is higher than WACC means investment is acceptable</t>
  </si>
  <si>
    <t>Best case and Worst cast Scenarios having higher IRR compared with Base Case Scenario,                                                                                     While Base Case Scenario having lower NPV compared with Best case and Worst Case Scenarios.</t>
  </si>
  <si>
    <t>I would suggest propose a mix of financial and non-financial incentives tied to the value in DCF, FCF, WACC, diciplined capital allocation.</t>
  </si>
  <si>
    <t>Yes, my balance sheet is well structured : current assets and liabilities are clearly separated from non-current items.</t>
  </si>
  <si>
    <t>NWC is not optimal. Using projected values NWC is negative in every year and becomes more negative over time because of simplified total current assets=0</t>
  </si>
  <si>
    <t>To improve NWC is to reduce the payables and current liabilities growth or increase current assets.</t>
  </si>
  <si>
    <t>Yes financing CAPEX equally with a bank loan, bonds, and equity is generally well structured because it diversifies funding sources and reduces dependence on one channel.</t>
  </si>
  <si>
    <t>To make that equal mix more optimal I would align the funding mix to capex timing, cash flow ability and cost of capital.</t>
  </si>
  <si>
    <t>Yes have potential cash gaps because NWC is negative and become more negative over time. To finance it use 1. Short term borrowing 2. Releasing cash from working capital 3. If gaps persist for mulitple years should switch to long term debt financing.</t>
  </si>
  <si>
    <t>Profitability in projected P&amp;L is improving over time, because EBIT rises steadily each year and net income line also increases year by year.However, there’s a clear problem in the P&amp;L structure: the “Gross earnings” line is incorrectly presented (it equals COGS every year).</t>
  </si>
  <si>
    <t>I would focous on increasing free cash flows to shareholders equity or portion of dividends to serve, while keeping discount rate as much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</si>
</sst>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quot;\ #,##0.00;[Red]&quot;₹&quot;\ \-#,##0.00"/>
    <numFmt numFmtId="164" formatCode="&quot;$&quot;#,##0.00_);\(&quot;$&quot;#,##0.00\)"/>
    <numFmt numFmtId="165" formatCode="_(&quot;$&quot;* #,##0.00_);_(&quot;$&quot;* \(#,##0.00\);_(&quot;$&quot;* &quot;-&quot;??_);_(@_)"/>
    <numFmt numFmtId="166" formatCode="0.0%"/>
    <numFmt numFmtId="167" formatCode="#,##0.0"/>
    <numFmt numFmtId="168" formatCode="#,##0\ _k_n"/>
    <numFmt numFmtId="169" formatCode="yyyy\-mm\-dd;@"/>
    <numFmt numFmtId="170" formatCode="[$$-409]#,##0"/>
    <numFmt numFmtId="171" formatCode="[$$-409]#,##0;[Red][$$-409]#,##0"/>
    <numFmt numFmtId="172" formatCode="0.0000000000000000%"/>
    <numFmt numFmtId="173" formatCode="[$$-409]#,##0.00"/>
    <numFmt numFmtId="174" formatCode="[$$-409]#,##0.00000000"/>
  </numFmts>
  <fonts count="34">
    <font>
      <sz val="10"/>
      <name val="Arial"/>
    </font>
    <font>
      <sz val="10"/>
      <name val="Arial"/>
      <family val="2"/>
    </font>
    <font>
      <b/>
      <sz val="12"/>
      <name val="Arial"/>
      <family val="2"/>
    </font>
    <font>
      <b/>
      <u/>
      <sz val="10"/>
      <name val="Arial"/>
      <family val="2"/>
    </font>
    <font>
      <sz val="10"/>
      <name val="Arial"/>
      <family val="2"/>
    </font>
    <font>
      <b/>
      <sz val="10"/>
      <name val="Arial"/>
      <family val="2"/>
    </font>
    <font>
      <sz val="10"/>
      <name val="Arial"/>
      <family val="2"/>
    </font>
    <font>
      <sz val="10"/>
      <name val="Arial"/>
      <family val="2"/>
      <charset val="238"/>
    </font>
    <font>
      <b/>
      <sz val="10"/>
      <color rgb="FFFF0000"/>
      <name val="Arial"/>
      <family val="2"/>
    </font>
    <font>
      <sz val="10"/>
      <color theme="1"/>
      <name val="Arial"/>
      <family val="2"/>
    </font>
    <font>
      <b/>
      <sz val="11"/>
      <name val="Calibri"/>
      <family val="2"/>
    </font>
    <font>
      <sz val="11"/>
      <color rgb="FF222222"/>
      <name val="Arial"/>
      <family val="2"/>
    </font>
    <font>
      <b/>
      <sz val="11"/>
      <color rgb="FF222222"/>
      <name val="Arial"/>
      <family val="2"/>
    </font>
    <font>
      <b/>
      <sz val="11"/>
      <color rgb="FF0070C0"/>
      <name val="Calibri"/>
      <family val="2"/>
    </font>
    <font>
      <u/>
      <sz val="10"/>
      <color theme="10"/>
      <name val="Arial"/>
      <family val="2"/>
    </font>
    <font>
      <sz val="10"/>
      <color rgb="FF222222"/>
      <name val="Arial"/>
      <family val="2"/>
    </font>
    <font>
      <b/>
      <sz val="11"/>
      <name val="Arial"/>
      <family val="2"/>
    </font>
    <font>
      <sz val="11"/>
      <name val="Arial"/>
      <family val="2"/>
    </font>
    <font>
      <b/>
      <sz val="16"/>
      <name val="Arial"/>
      <family val="2"/>
    </font>
    <font>
      <sz val="11"/>
      <color rgb="FFFF0000"/>
      <name val="Calibri"/>
      <family val="2"/>
      <charset val="238"/>
      <scheme val="minor"/>
    </font>
    <font>
      <b/>
      <sz val="11"/>
      <color theme="1"/>
      <name val="Calibri"/>
      <family val="2"/>
      <charset val="238"/>
      <scheme val="minor"/>
    </font>
    <font>
      <i/>
      <sz val="11"/>
      <name val="Arial"/>
      <family val="2"/>
    </font>
    <font>
      <b/>
      <sz val="10"/>
      <color theme="1"/>
      <name val="Arial"/>
      <family val="2"/>
    </font>
    <font>
      <b/>
      <sz val="10"/>
      <color theme="0"/>
      <name val="Arial"/>
      <family val="2"/>
    </font>
    <font>
      <u/>
      <sz val="10"/>
      <color theme="1"/>
      <name val="Arial"/>
      <family val="2"/>
    </font>
    <font>
      <sz val="12"/>
      <name val="Garamond"/>
      <family val="1"/>
    </font>
    <font>
      <b/>
      <sz val="14"/>
      <name val="Garamond"/>
      <family val="1"/>
    </font>
    <font>
      <sz val="10"/>
      <color rgb="FF0070C0"/>
      <name val="Arial"/>
      <family val="2"/>
    </font>
    <font>
      <sz val="10"/>
      <name val="Arial Unicode MS"/>
    </font>
    <font>
      <sz val="9"/>
      <color indexed="81"/>
      <name val="Tahoma"/>
      <family val="2"/>
    </font>
    <font>
      <b/>
      <sz val="9"/>
      <color indexed="81"/>
      <name val="Tahoma"/>
      <family val="2"/>
    </font>
    <font>
      <sz val="9"/>
      <color indexed="81"/>
      <name val="Tahoma"/>
      <charset val="1"/>
    </font>
    <font>
      <b/>
      <sz val="9"/>
      <color indexed="81"/>
      <name val="Tahoma"/>
      <charset val="1"/>
    </font>
    <font>
      <sz val="10"/>
      <color rgb="FFFF0000"/>
      <name val="Arial"/>
      <family val="2"/>
    </font>
  </fonts>
  <fills count="6">
    <fill>
      <patternFill patternType="none"/>
    </fill>
    <fill>
      <patternFill patternType="gray125"/>
    </fill>
    <fill>
      <patternFill patternType="solid">
        <fgColor indexed="43"/>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0000"/>
        <bgColor indexed="64"/>
      </patternFill>
    </fill>
  </fills>
  <borders count="18">
    <border>
      <left/>
      <right/>
      <top/>
      <bottom/>
      <diagonal/>
    </border>
    <border>
      <left/>
      <right/>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16"/>
      </right>
      <top/>
      <bottom style="thin">
        <color indexed="16"/>
      </bottom>
      <diagonal/>
    </border>
    <border>
      <left/>
      <right style="thin">
        <color indexed="64"/>
      </right>
      <top/>
      <bottom style="thin">
        <color indexed="64"/>
      </bottom>
      <diagonal/>
    </border>
    <border>
      <left/>
      <right style="thin">
        <color indexed="64"/>
      </right>
      <top/>
      <bottom/>
      <diagonal/>
    </border>
    <border>
      <left/>
      <right/>
      <top style="medium">
        <color indexed="64"/>
      </top>
      <bottom style="medium">
        <color indexed="64"/>
      </bottom>
      <diagonal/>
    </border>
    <border>
      <left/>
      <right style="thin">
        <color indexed="61"/>
      </right>
      <top/>
      <bottom/>
      <diagonal/>
    </border>
    <border>
      <left style="thin">
        <color indexed="61"/>
      </left>
      <right style="thin">
        <color indexed="61"/>
      </right>
      <top/>
      <bottom/>
      <diagonal/>
    </border>
    <border>
      <left/>
      <right/>
      <top style="medium">
        <color indexed="64"/>
      </top>
      <bottom/>
      <diagonal/>
    </border>
    <border>
      <left/>
      <right/>
      <top style="thin">
        <color indexed="64"/>
      </top>
      <bottom style="thin">
        <color indexed="64"/>
      </bottom>
      <diagonal/>
    </border>
  </borders>
  <cellStyleXfs count="4">
    <xf numFmtId="0" fontId="0" fillId="0" borderId="0"/>
    <xf numFmtId="165" fontId="1" fillId="0" borderId="0" applyFont="0" applyFill="0" applyBorder="0" applyAlignment="0" applyProtection="0"/>
    <xf numFmtId="9" fontId="1" fillId="0" borderId="0" applyFont="0" applyFill="0" applyBorder="0" applyAlignment="0" applyProtection="0"/>
    <xf numFmtId="0" fontId="14" fillId="0" borderId="0" applyNumberFormat="0" applyFill="0" applyBorder="0" applyAlignment="0" applyProtection="0"/>
  </cellStyleXfs>
  <cellXfs count="225">
    <xf numFmtId="0" fontId="0" fillId="0" borderId="0" xfId="0"/>
    <xf numFmtId="0" fontId="2" fillId="0" borderId="0" xfId="0" applyFont="1"/>
    <xf numFmtId="0" fontId="3" fillId="0" borderId="0" xfId="0" applyFont="1"/>
    <xf numFmtId="0" fontId="0" fillId="0" borderId="1" xfId="0" applyBorder="1"/>
    <xf numFmtId="164" fontId="0" fillId="0" borderId="0" xfId="1" applyNumberFormat="1" applyFont="1" applyBorder="1"/>
    <xf numFmtId="0" fontId="4" fillId="0" borderId="0" xfId="0" applyFont="1"/>
    <xf numFmtId="0" fontId="2" fillId="0" borderId="2" xfId="0" applyFont="1" applyBorder="1"/>
    <xf numFmtId="0" fontId="0" fillId="0" borderId="2" xfId="0" applyBorder="1" applyAlignment="1">
      <alignment horizontal="center"/>
    </xf>
    <xf numFmtId="0" fontId="0" fillId="0" borderId="0" xfId="0" applyAlignment="1">
      <alignment horizontal="center"/>
    </xf>
    <xf numFmtId="0" fontId="0" fillId="0" borderId="0" xfId="0" quotePrefix="1"/>
    <xf numFmtId="164" fontId="0" fillId="0" borderId="0" xfId="1" applyNumberFormat="1" applyFont="1" applyFill="1" applyBorder="1"/>
    <xf numFmtId="164" fontId="0" fillId="0" borderId="1" xfId="1" applyNumberFormat="1" applyFont="1" applyFill="1" applyBorder="1"/>
    <xf numFmtId="9" fontId="0" fillId="0" borderId="0" xfId="2" applyFont="1" applyBorder="1" applyAlignment="1">
      <alignment horizontal="center"/>
    </xf>
    <xf numFmtId="0" fontId="0" fillId="0" borderId="0" xfId="0" applyAlignment="1">
      <alignment horizontal="right"/>
    </xf>
    <xf numFmtId="9" fontId="0" fillId="0" borderId="0" xfId="2" applyFont="1" applyFill="1" applyAlignment="1">
      <alignment horizontal="center"/>
    </xf>
    <xf numFmtId="0" fontId="2" fillId="2" borderId="0" xfId="0" applyFont="1" applyFill="1"/>
    <xf numFmtId="0" fontId="5" fillId="0" borderId="0" xfId="0" applyFont="1" applyAlignment="1">
      <alignment horizontal="center"/>
    </xf>
    <xf numFmtId="49" fontId="7" fillId="0" borderId="0" xfId="0" applyNumberFormat="1" applyFont="1"/>
    <xf numFmtId="0" fontId="7" fillId="0" borderId="0" xfId="0" applyFont="1"/>
    <xf numFmtId="167" fontId="0" fillId="0" borderId="0" xfId="0" applyNumberFormat="1"/>
    <xf numFmtId="9" fontId="0" fillId="0" borderId="0" xfId="0" applyNumberFormat="1"/>
    <xf numFmtId="0" fontId="5" fillId="0" borderId="0" xfId="0" applyFont="1"/>
    <xf numFmtId="0" fontId="4" fillId="0" borderId="0" xfId="0" applyFont="1" applyAlignment="1">
      <alignment horizontal="right"/>
    </xf>
    <xf numFmtId="166" fontId="5" fillId="3" borderId="0" xfId="2" applyNumberFormat="1" applyFont="1" applyFill="1"/>
    <xf numFmtId="0" fontId="9" fillId="0" borderId="0" xfId="0" applyFont="1"/>
    <xf numFmtId="0" fontId="0" fillId="0" borderId="0" xfId="0" applyAlignment="1">
      <alignment horizontal="justify" vertical="center"/>
    </xf>
    <xf numFmtId="0" fontId="10" fillId="0" borderId="0" xfId="0" applyFont="1" applyAlignment="1">
      <alignment horizontal="justify" vertical="center"/>
    </xf>
    <xf numFmtId="0" fontId="12" fillId="0" borderId="0" xfId="0" applyFont="1" applyAlignment="1">
      <alignment vertical="center"/>
    </xf>
    <xf numFmtId="0" fontId="10" fillId="0" borderId="0" xfId="0" applyFont="1" applyAlignment="1">
      <alignment horizontal="center" vertical="center"/>
    </xf>
    <xf numFmtId="0" fontId="14" fillId="0" borderId="0" xfId="3" quotePrefix="1"/>
    <xf numFmtId="0" fontId="11" fillId="0" borderId="0" xfId="0" applyFont="1" applyAlignment="1">
      <alignment horizontal="left" vertical="center" wrapText="1"/>
    </xf>
    <xf numFmtId="0" fontId="15" fillId="0" borderId="0" xfId="0" applyFont="1" applyAlignment="1">
      <alignment vertical="center"/>
    </xf>
    <xf numFmtId="0" fontId="16" fillId="0" borderId="0" xfId="0" applyFont="1"/>
    <xf numFmtId="0" fontId="17" fillId="0" borderId="0" xfId="0" applyFont="1" applyAlignment="1">
      <alignment vertical="center"/>
    </xf>
    <xf numFmtId="0" fontId="18" fillId="0" borderId="0" xfId="0" applyFont="1"/>
    <xf numFmtId="0" fontId="4" fillId="3" borderId="0" xfId="0" applyFont="1" applyFill="1"/>
    <xf numFmtId="0" fontId="0" fillId="3" borderId="0" xfId="0" applyFill="1"/>
    <xf numFmtId="166" fontId="6" fillId="4" borderId="3" xfId="2" applyNumberFormat="1" applyFont="1" applyFill="1" applyBorder="1"/>
    <xf numFmtId="166" fontId="6" fillId="4" borderId="3" xfId="2" applyNumberFormat="1" applyFont="1" applyFill="1" applyBorder="1" applyAlignment="1">
      <alignment horizontal="right"/>
    </xf>
    <xf numFmtId="166" fontId="6" fillId="4" borderId="4" xfId="2" applyNumberFormat="1" applyFont="1" applyFill="1" applyBorder="1" applyAlignment="1">
      <alignment horizontal="right"/>
    </xf>
    <xf numFmtId="166" fontId="6" fillId="0" borderId="0" xfId="2" applyNumberFormat="1" applyFont="1" applyFill="1" applyBorder="1" applyAlignment="1">
      <alignment horizontal="right"/>
    </xf>
    <xf numFmtId="9" fontId="0" fillId="4" borderId="3" xfId="0" applyNumberFormat="1" applyFill="1" applyBorder="1"/>
    <xf numFmtId="0" fontId="20" fillId="0" borderId="0" xfId="0" applyFont="1"/>
    <xf numFmtId="3" fontId="0" fillId="0" borderId="0" xfId="0" applyNumberFormat="1"/>
    <xf numFmtId="10" fontId="0" fillId="0" borderId="0" xfId="0" applyNumberFormat="1"/>
    <xf numFmtId="168" fontId="0" fillId="0" borderId="0" xfId="0" applyNumberFormat="1"/>
    <xf numFmtId="169" fontId="0" fillId="0" borderId="0" xfId="0" applyNumberFormat="1" applyAlignment="1">
      <alignment horizontal="center"/>
    </xf>
    <xf numFmtId="14" fontId="0" fillId="0" borderId="0" xfId="0" applyNumberFormat="1"/>
    <xf numFmtId="0" fontId="5" fillId="0" borderId="1" xfId="0" applyFont="1" applyBorder="1" applyAlignment="1">
      <alignment horizontal="center"/>
    </xf>
    <xf numFmtId="10" fontId="0" fillId="0" borderId="0" xfId="2" applyNumberFormat="1" applyFont="1"/>
    <xf numFmtId="3" fontId="0" fillId="4" borderId="6" xfId="0" applyNumberFormat="1" applyFill="1" applyBorder="1"/>
    <xf numFmtId="4" fontId="0" fillId="4" borderId="3" xfId="0" applyNumberFormat="1" applyFill="1" applyBorder="1"/>
    <xf numFmtId="0" fontId="4" fillId="0" borderId="0" xfId="0" applyFont="1" applyAlignment="1">
      <alignment horizontal="center"/>
    </xf>
    <xf numFmtId="3" fontId="0" fillId="3" borderId="0" xfId="0" applyNumberFormat="1" applyFill="1"/>
    <xf numFmtId="10" fontId="0" fillId="3" borderId="0" xfId="0" applyNumberFormat="1" applyFill="1"/>
    <xf numFmtId="10" fontId="0" fillId="3" borderId="0" xfId="0" applyNumberFormat="1" applyFill="1" applyAlignment="1">
      <alignment horizontal="right"/>
    </xf>
    <xf numFmtId="10" fontId="0" fillId="3" borderId="0" xfId="2" applyNumberFormat="1" applyFont="1" applyFill="1"/>
    <xf numFmtId="9" fontId="0" fillId="3" borderId="0" xfId="2" applyFont="1" applyFill="1"/>
    <xf numFmtId="0" fontId="5" fillId="0" borderId="8" xfId="0" applyFont="1" applyBorder="1"/>
    <xf numFmtId="10" fontId="5" fillId="3" borderId="9" xfId="0" applyNumberFormat="1" applyFont="1" applyFill="1" applyBorder="1"/>
    <xf numFmtId="1" fontId="6" fillId="4" borderId="4" xfId="2" applyNumberFormat="1" applyFont="1" applyFill="1" applyBorder="1" applyAlignment="1">
      <alignment horizontal="right"/>
    </xf>
    <xf numFmtId="1" fontId="0" fillId="3" borderId="0" xfId="0" applyNumberFormat="1" applyFill="1"/>
    <xf numFmtId="3" fontId="0" fillId="0" borderId="0" xfId="2" applyNumberFormat="1" applyFont="1" applyFill="1" applyBorder="1"/>
    <xf numFmtId="3" fontId="0" fillId="0" borderId="0" xfId="1" applyNumberFormat="1" applyFont="1" applyFill="1" applyBorder="1"/>
    <xf numFmtId="3" fontId="0" fillId="0" borderId="2" xfId="1" applyNumberFormat="1" applyFont="1" applyFill="1" applyBorder="1"/>
    <xf numFmtId="3" fontId="6" fillId="0" borderId="0" xfId="1" applyNumberFormat="1" applyFont="1" applyFill="1" applyBorder="1"/>
    <xf numFmtId="0" fontId="4" fillId="0" borderId="1" xfId="0" applyFont="1" applyBorder="1"/>
    <xf numFmtId="0" fontId="4" fillId="0" borderId="2" xfId="0" applyFont="1" applyBorder="1"/>
    <xf numFmtId="3" fontId="0" fillId="0" borderId="0" xfId="2" applyNumberFormat="1" applyFont="1" applyFill="1" applyBorder="1" applyAlignment="1">
      <alignment horizontal="right"/>
    </xf>
    <xf numFmtId="3" fontId="0" fillId="0" borderId="6" xfId="0" applyNumberFormat="1" applyBorder="1"/>
    <xf numFmtId="3" fontId="0" fillId="4" borderId="0" xfId="0" applyNumberFormat="1" applyFill="1"/>
    <xf numFmtId="0" fontId="4" fillId="0" borderId="1" xfId="0" applyFont="1" applyBorder="1" applyAlignment="1">
      <alignment horizontal="right"/>
    </xf>
    <xf numFmtId="0" fontId="4" fillId="0" borderId="0" xfId="0" applyFont="1" applyAlignment="1">
      <alignment horizontal="left"/>
    </xf>
    <xf numFmtId="3" fontId="0" fillId="4" borderId="3" xfId="1" applyNumberFormat="1" applyFont="1" applyFill="1" applyBorder="1"/>
    <xf numFmtId="9" fontId="0" fillId="4" borderId="3" xfId="2" applyFont="1" applyFill="1" applyBorder="1"/>
    <xf numFmtId="3" fontId="0" fillId="0" borderId="0" xfId="1" applyNumberFormat="1" applyFont="1" applyFill="1" applyBorder="1" applyAlignment="1">
      <alignment horizontal="center"/>
    </xf>
    <xf numFmtId="0" fontId="4" fillId="0" borderId="1" xfId="0" quotePrefix="1" applyFont="1" applyBorder="1"/>
    <xf numFmtId="3" fontId="0" fillId="0" borderId="0" xfId="0" applyNumberFormat="1" applyAlignment="1">
      <alignment horizontal="center"/>
    </xf>
    <xf numFmtId="164" fontId="5" fillId="0" borderId="0" xfId="1" applyNumberFormat="1" applyFont="1" applyFill="1" applyBorder="1"/>
    <xf numFmtId="0" fontId="19" fillId="0" borderId="0" xfId="0" applyFont="1"/>
    <xf numFmtId="3" fontId="5" fillId="3" borderId="0" xfId="0" applyNumberFormat="1" applyFont="1" applyFill="1"/>
    <xf numFmtId="3" fontId="5" fillId="0" borderId="0" xfId="0" applyNumberFormat="1" applyFont="1"/>
    <xf numFmtId="0" fontId="0" fillId="0" borderId="0" xfId="0" quotePrefix="1" applyAlignment="1">
      <alignment horizontal="right"/>
    </xf>
    <xf numFmtId="0" fontId="5" fillId="0" borderId="0" xfId="0" quotePrefix="1" applyFont="1" applyAlignment="1">
      <alignment horizontal="left"/>
    </xf>
    <xf numFmtId="0" fontId="4" fillId="0" borderId="0" xfId="0" quotePrefix="1" applyFont="1" applyAlignment="1">
      <alignment horizontal="right"/>
    </xf>
    <xf numFmtId="0" fontId="21" fillId="0" borderId="0" xfId="0" applyFont="1"/>
    <xf numFmtId="49" fontId="5" fillId="0" borderId="0" xfId="0" applyNumberFormat="1" applyFont="1"/>
    <xf numFmtId="0" fontId="22" fillId="0" borderId="0" xfId="0" applyFont="1"/>
    <xf numFmtId="0" fontId="2" fillId="2" borderId="0" xfId="0" applyFont="1" applyFill="1" applyAlignment="1">
      <alignment horizontal="center"/>
    </xf>
    <xf numFmtId="0" fontId="24" fillId="0" borderId="0" xfId="3" quotePrefix="1" applyFont="1" applyAlignment="1">
      <alignment horizontal="center"/>
    </xf>
    <xf numFmtId="0" fontId="8" fillId="0" borderId="0" xfId="0" applyFont="1"/>
    <xf numFmtId="0" fontId="23" fillId="5" borderId="0" xfId="0" applyFont="1" applyFill="1" applyAlignment="1">
      <alignment horizontal="center"/>
    </xf>
    <xf numFmtId="0" fontId="2" fillId="0" borderId="7" xfId="0" applyFont="1" applyBorder="1"/>
    <xf numFmtId="0" fontId="25" fillId="0" borderId="0" xfId="0" applyFont="1" applyAlignment="1">
      <alignment horizontal="justify" vertical="center"/>
    </xf>
    <xf numFmtId="0" fontId="26" fillId="0" borderId="0" xfId="0" applyFont="1" applyAlignment="1">
      <alignment horizontal="justify" vertical="center"/>
    </xf>
    <xf numFmtId="0" fontId="14" fillId="3" borderId="0" xfId="3" applyFill="1"/>
    <xf numFmtId="3" fontId="0" fillId="3" borderId="3" xfId="2" applyNumberFormat="1" applyFont="1" applyFill="1" applyBorder="1" applyAlignment="1">
      <alignment horizontal="right"/>
    </xf>
    <xf numFmtId="0" fontId="1" fillId="0" borderId="0" xfId="0" applyFont="1"/>
    <xf numFmtId="0" fontId="1" fillId="0" borderId="0" xfId="0" applyFont="1" applyAlignment="1">
      <alignment vertical="center"/>
    </xf>
    <xf numFmtId="0" fontId="14" fillId="0" borderId="0" xfId="3" applyFill="1"/>
    <xf numFmtId="0" fontId="0" fillId="0" borderId="0" xfId="0" applyAlignment="1">
      <alignment horizontal="left"/>
    </xf>
    <xf numFmtId="9" fontId="5" fillId="3" borderId="9" xfId="0" applyNumberFormat="1" applyFont="1" applyFill="1" applyBorder="1"/>
    <xf numFmtId="0" fontId="5" fillId="3" borderId="0" xfId="0" applyFont="1" applyFill="1" applyAlignment="1">
      <alignment wrapText="1"/>
    </xf>
    <xf numFmtId="0" fontId="5" fillId="3" borderId="0" xfId="0" applyFont="1" applyFill="1" applyAlignment="1">
      <alignment horizontal="center" vertical="center"/>
    </xf>
    <xf numFmtId="0" fontId="5" fillId="3" borderId="0" xfId="0" applyFont="1" applyFill="1"/>
    <xf numFmtId="0" fontId="1" fillId="3" borderId="0" xfId="0" applyFont="1" applyFill="1"/>
    <xf numFmtId="0" fontId="0" fillId="3" borderId="13" xfId="0" applyFill="1" applyBorder="1"/>
    <xf numFmtId="0" fontId="0" fillId="3" borderId="16" xfId="0" applyFill="1" applyBorder="1"/>
    <xf numFmtId="0" fontId="0" fillId="3" borderId="1" xfId="0" applyFill="1" applyBorder="1"/>
    <xf numFmtId="0" fontId="27" fillId="0" borderId="0" xfId="0" applyFont="1"/>
    <xf numFmtId="0" fontId="5" fillId="3" borderId="0" xfId="0" applyFont="1" applyFill="1" applyAlignment="1">
      <alignment horizontal="right"/>
    </xf>
    <xf numFmtId="0" fontId="5" fillId="3" borderId="13" xfId="0" applyFont="1" applyFill="1" applyBorder="1"/>
    <xf numFmtId="0" fontId="5" fillId="3" borderId="17" xfId="0" applyFont="1" applyFill="1" applyBorder="1"/>
    <xf numFmtId="0" fontId="0" fillId="3" borderId="17" xfId="0" applyFill="1" applyBorder="1"/>
    <xf numFmtId="1" fontId="0" fillId="0" borderId="0" xfId="0" applyNumberFormat="1"/>
    <xf numFmtId="170" fontId="0" fillId="3" borderId="13" xfId="0" applyNumberFormat="1" applyFill="1" applyBorder="1"/>
    <xf numFmtId="170" fontId="0" fillId="3" borderId="0" xfId="0" applyNumberFormat="1" applyFill="1"/>
    <xf numFmtId="170" fontId="0" fillId="3" borderId="16" xfId="0" applyNumberFormat="1" applyFill="1" applyBorder="1"/>
    <xf numFmtId="170" fontId="0" fillId="3" borderId="1" xfId="0" applyNumberFormat="1" applyFill="1" applyBorder="1"/>
    <xf numFmtId="170" fontId="0" fillId="3" borderId="17" xfId="0" applyNumberFormat="1" applyFill="1" applyBorder="1"/>
    <xf numFmtId="170" fontId="0" fillId="0" borderId="0" xfId="0" applyNumberFormat="1"/>
    <xf numFmtId="170" fontId="5" fillId="3" borderId="13" xfId="0" applyNumberFormat="1" applyFont="1" applyFill="1" applyBorder="1"/>
    <xf numFmtId="170" fontId="1" fillId="3" borderId="0" xfId="0" applyNumberFormat="1" applyFont="1" applyFill="1" applyAlignment="1">
      <alignment horizontal="left"/>
    </xf>
    <xf numFmtId="170" fontId="0" fillId="3" borderId="0" xfId="0" applyNumberFormat="1" applyFill="1" applyAlignment="1">
      <alignment horizontal="left"/>
    </xf>
    <xf numFmtId="170" fontId="1" fillId="3" borderId="13" xfId="0" applyNumberFormat="1" applyFont="1" applyFill="1" applyBorder="1" applyAlignment="1">
      <alignment horizontal="left"/>
    </xf>
    <xf numFmtId="170" fontId="1" fillId="3" borderId="13" xfId="0" applyNumberFormat="1" applyFont="1" applyFill="1" applyBorder="1"/>
    <xf numFmtId="170" fontId="1" fillId="3" borderId="0" xfId="0" applyNumberFormat="1" applyFont="1" applyFill="1"/>
    <xf numFmtId="170" fontId="1" fillId="3" borderId="3" xfId="0" applyNumberFormat="1" applyFont="1" applyFill="1" applyBorder="1" applyAlignment="1">
      <alignment horizontal="right"/>
    </xf>
    <xf numFmtId="170" fontId="6" fillId="3" borderId="3" xfId="2" applyNumberFormat="1" applyFont="1" applyFill="1" applyBorder="1" applyAlignment="1">
      <alignment horizontal="center"/>
    </xf>
    <xf numFmtId="170" fontId="0" fillId="0" borderId="0" xfId="0" applyNumberFormat="1" applyAlignment="1">
      <alignment horizontal="center"/>
    </xf>
    <xf numFmtId="170" fontId="0" fillId="3" borderId="3" xfId="0" applyNumberFormat="1" applyFill="1" applyBorder="1" applyAlignment="1">
      <alignment horizontal="center"/>
    </xf>
    <xf numFmtId="0" fontId="0" fillId="0" borderId="0" xfId="0" applyAlignment="1">
      <alignment horizontal="left" vertical="center" indent="1"/>
    </xf>
    <xf numFmtId="0" fontId="5" fillId="3" borderId="1" xfId="0" applyFont="1" applyFill="1" applyBorder="1"/>
    <xf numFmtId="171" fontId="0" fillId="3" borderId="1" xfId="0" applyNumberFormat="1" applyFill="1" applyBorder="1"/>
    <xf numFmtId="170" fontId="0" fillId="3" borderId="0" xfId="0" applyNumberFormat="1" applyFill="1" applyAlignment="1">
      <alignment horizontal="center"/>
    </xf>
    <xf numFmtId="170" fontId="6" fillId="0" borderId="0" xfId="2" applyNumberFormat="1" applyFont="1" applyFill="1" applyBorder="1" applyAlignment="1">
      <alignment horizontal="right"/>
    </xf>
    <xf numFmtId="170" fontId="0" fillId="3" borderId="3" xfId="0" applyNumberFormat="1" applyFill="1" applyBorder="1" applyAlignment="1">
      <alignment horizontal="right"/>
    </xf>
    <xf numFmtId="170" fontId="1" fillId="3" borderId="3" xfId="0" applyNumberFormat="1" applyFont="1" applyFill="1" applyBorder="1" applyAlignment="1">
      <alignment horizontal="center"/>
    </xf>
    <xf numFmtId="170" fontId="0" fillId="3" borderId="3" xfId="0" applyNumberFormat="1" applyFill="1" applyBorder="1"/>
    <xf numFmtId="0" fontId="1" fillId="0" borderId="0" xfId="0" applyFont="1" applyAlignment="1">
      <alignment horizontal="left" vertical="center" indent="1"/>
    </xf>
    <xf numFmtId="170" fontId="5" fillId="0" borderId="0" xfId="0" applyNumberFormat="1" applyFont="1"/>
    <xf numFmtId="8" fontId="0" fillId="0" borderId="0" xfId="0" applyNumberFormat="1"/>
    <xf numFmtId="8" fontId="28" fillId="0" borderId="0" xfId="0" applyNumberFormat="1" applyFont="1" applyAlignment="1">
      <alignment vertical="center"/>
    </xf>
    <xf numFmtId="170" fontId="0" fillId="3" borderId="0" xfId="0" applyNumberFormat="1" applyFill="1" applyAlignment="1">
      <alignment horizontal="right"/>
    </xf>
    <xf numFmtId="3" fontId="1" fillId="4" borderId="3" xfId="0" applyNumberFormat="1" applyFont="1" applyFill="1" applyBorder="1" applyAlignment="1">
      <alignment horizontal="right"/>
    </xf>
    <xf numFmtId="0" fontId="28" fillId="0" borderId="0" xfId="0" applyFont="1" applyAlignment="1">
      <alignment vertical="center"/>
    </xf>
    <xf numFmtId="172" fontId="0" fillId="0" borderId="0" xfId="0" applyNumberFormat="1"/>
    <xf numFmtId="173" fontId="1" fillId="0" borderId="0" xfId="0" applyNumberFormat="1" applyFont="1"/>
    <xf numFmtId="9" fontId="4" fillId="0" borderId="0" xfId="0" applyNumberFormat="1" applyFont="1"/>
    <xf numFmtId="166" fontId="4" fillId="0" borderId="0" xfId="0" applyNumberFormat="1" applyFont="1"/>
    <xf numFmtId="172" fontId="1" fillId="0" borderId="0" xfId="0" quotePrefix="1" applyNumberFormat="1" applyFont="1"/>
    <xf numFmtId="170" fontId="5" fillId="0" borderId="1" xfId="0" applyNumberFormat="1" applyFont="1" applyBorder="1" applyAlignment="1">
      <alignment horizontal="center"/>
    </xf>
    <xf numFmtId="166" fontId="6" fillId="4" borderId="3" xfId="2" applyNumberFormat="1" applyFont="1" applyFill="1" applyBorder="1" applyAlignment="1">
      <alignment horizontal="left"/>
    </xf>
    <xf numFmtId="170" fontId="0" fillId="4" borderId="3" xfId="0" applyNumberFormat="1" applyFill="1" applyBorder="1" applyAlignment="1">
      <alignment horizontal="center"/>
    </xf>
    <xf numFmtId="170" fontId="33" fillId="0" borderId="5" xfId="1" applyNumberFormat="1" applyFont="1" applyFill="1" applyBorder="1" applyAlignment="1"/>
    <xf numFmtId="170" fontId="0" fillId="3" borderId="3" xfId="1" applyNumberFormat="1" applyFont="1" applyFill="1" applyBorder="1"/>
    <xf numFmtId="170" fontId="6" fillId="3" borderId="3" xfId="1" applyNumberFormat="1" applyFont="1" applyFill="1" applyBorder="1"/>
    <xf numFmtId="170" fontId="0" fillId="0" borderId="0" xfId="1" applyNumberFormat="1" applyFont="1" applyFill="1" applyBorder="1"/>
    <xf numFmtId="170" fontId="0" fillId="0" borderId="0" xfId="2" applyNumberFormat="1" applyFont="1" applyFill="1" applyBorder="1"/>
    <xf numFmtId="170" fontId="6" fillId="0" borderId="0" xfId="1" applyNumberFormat="1" applyFont="1" applyFill="1" applyBorder="1"/>
    <xf numFmtId="170" fontId="6" fillId="0" borderId="5" xfId="1" applyNumberFormat="1" applyFont="1" applyFill="1" applyBorder="1"/>
    <xf numFmtId="170" fontId="6" fillId="0" borderId="3" xfId="1" applyNumberFormat="1" applyFont="1" applyFill="1" applyBorder="1"/>
    <xf numFmtId="170" fontId="6" fillId="3" borderId="5" xfId="1" applyNumberFormat="1" applyFont="1" applyFill="1" applyBorder="1"/>
    <xf numFmtId="170" fontId="0" fillId="3" borderId="5" xfId="1" applyNumberFormat="1" applyFont="1" applyFill="1" applyBorder="1"/>
    <xf numFmtId="170" fontId="5" fillId="0" borderId="0" xfId="1" applyNumberFormat="1" applyFont="1" applyFill="1" applyBorder="1"/>
    <xf numFmtId="170" fontId="5" fillId="3" borderId="3" xfId="1" applyNumberFormat="1" applyFont="1" applyFill="1" applyBorder="1"/>
    <xf numFmtId="170" fontId="6" fillId="3" borderId="14" xfId="1" applyNumberFormat="1" applyFont="1" applyFill="1" applyBorder="1"/>
    <xf numFmtId="170" fontId="6" fillId="3" borderId="15" xfId="1" applyNumberFormat="1" applyFont="1" applyFill="1" applyBorder="1"/>
    <xf numFmtId="174" fontId="0" fillId="3" borderId="10" xfId="1" applyNumberFormat="1" applyFont="1" applyFill="1" applyBorder="1"/>
    <xf numFmtId="170" fontId="1" fillId="3" borderId="3" xfId="1" applyNumberFormat="1" applyFont="1" applyFill="1" applyBorder="1"/>
    <xf numFmtId="170" fontId="1" fillId="0" borderId="0" xfId="1" applyNumberFormat="1" applyFont="1" applyFill="1" applyBorder="1" applyAlignment="1">
      <alignment horizontal="center"/>
    </xf>
    <xf numFmtId="170" fontId="1" fillId="3" borderId="3" xfId="1" applyNumberFormat="1" applyFont="1" applyFill="1" applyBorder="1" applyAlignment="1">
      <alignment horizontal="center" vertical="center"/>
    </xf>
    <xf numFmtId="170" fontId="1" fillId="3" borderId="3" xfId="1" applyNumberFormat="1" applyFont="1" applyFill="1" applyBorder="1" applyAlignment="1">
      <alignment horizontal="center"/>
    </xf>
    <xf numFmtId="170" fontId="33" fillId="0" borderId="0" xfId="1" applyNumberFormat="1" applyFont="1" applyFill="1" applyBorder="1"/>
    <xf numFmtId="170" fontId="33" fillId="0" borderId="0" xfId="2" applyNumberFormat="1" applyFont="1" applyFill="1" applyBorder="1"/>
    <xf numFmtId="170" fontId="33" fillId="0" borderId="0" xfId="0" applyNumberFormat="1" applyFont="1"/>
    <xf numFmtId="170" fontId="9" fillId="3" borderId="3" xfId="1" applyNumberFormat="1" applyFont="1" applyFill="1" applyBorder="1"/>
    <xf numFmtId="170" fontId="9" fillId="3" borderId="0" xfId="1" applyNumberFormat="1" applyFont="1" applyFill="1" applyBorder="1"/>
    <xf numFmtId="170" fontId="1" fillId="3" borderId="0" xfId="1" applyNumberFormat="1" applyFont="1" applyFill="1" applyBorder="1"/>
    <xf numFmtId="170" fontId="22" fillId="3" borderId="13" xfId="1" applyNumberFormat="1" applyFont="1" applyFill="1" applyBorder="1"/>
    <xf numFmtId="170" fontId="5" fillId="3" borderId="13" xfId="1" applyNumberFormat="1" applyFont="1" applyFill="1" applyBorder="1"/>
    <xf numFmtId="170" fontId="5" fillId="3" borderId="9" xfId="1" applyNumberFormat="1" applyFont="1" applyFill="1" applyBorder="1"/>
    <xf numFmtId="170" fontId="33" fillId="0" borderId="12" xfId="1" applyNumberFormat="1" applyFont="1" applyFill="1" applyBorder="1"/>
    <xf numFmtId="170" fontId="33" fillId="0" borderId="11" xfId="1" applyNumberFormat="1" applyFont="1" applyFill="1" applyBorder="1"/>
    <xf numFmtId="170" fontId="1" fillId="0" borderId="0" xfId="2" applyNumberFormat="1" applyFont="1" applyFill="1" applyBorder="1"/>
    <xf numFmtId="170" fontId="1" fillId="0" borderId="0" xfId="0" applyNumberFormat="1" applyFont="1"/>
    <xf numFmtId="170" fontId="1" fillId="0" borderId="0" xfId="2" applyNumberFormat="1" applyFont="1" applyFill="1"/>
    <xf numFmtId="170" fontId="22" fillId="3" borderId="9" xfId="1" applyNumberFormat="1" applyFont="1" applyFill="1" applyBorder="1"/>
    <xf numFmtId="170" fontId="9" fillId="3" borderId="1" xfId="1" applyNumberFormat="1" applyFont="1" applyFill="1" applyBorder="1"/>
    <xf numFmtId="170" fontId="9" fillId="0" borderId="0" xfId="1" applyNumberFormat="1" applyFont="1" applyFill="1" applyBorder="1"/>
    <xf numFmtId="170" fontId="9" fillId="0" borderId="0" xfId="0" applyNumberFormat="1" applyFont="1"/>
    <xf numFmtId="170" fontId="9" fillId="3" borderId="0" xfId="0" applyNumberFormat="1" applyFont="1" applyFill="1"/>
    <xf numFmtId="170" fontId="22" fillId="3" borderId="0" xfId="1" applyNumberFormat="1" applyFont="1" applyFill="1" applyBorder="1"/>
    <xf numFmtId="10" fontId="5" fillId="3" borderId="0" xfId="2" applyNumberFormat="1" applyFont="1" applyFill="1"/>
    <xf numFmtId="0" fontId="0" fillId="0" borderId="0" xfId="0" applyAlignment="1">
      <alignment horizontal="right" vertical="center" wrapText="1"/>
    </xf>
    <xf numFmtId="0" fontId="0" fillId="4" borderId="3" xfId="0" applyFill="1" applyBorder="1"/>
    <xf numFmtId="4" fontId="1" fillId="0" borderId="0" xfId="0" applyNumberFormat="1" applyFont="1" applyAlignment="1">
      <alignment horizontal="right" vertical="center" wrapText="1"/>
    </xf>
    <xf numFmtId="170" fontId="5" fillId="3" borderId="0" xfId="0" applyNumberFormat="1" applyFont="1" applyFill="1"/>
    <xf numFmtId="170" fontId="0" fillId="0" borderId="0" xfId="0" applyNumberFormat="1" applyAlignment="1">
      <alignment horizontal="right" vertical="center" wrapText="1"/>
    </xf>
    <xf numFmtId="173" fontId="5" fillId="3" borderId="9" xfId="0" applyNumberFormat="1" applyFont="1" applyFill="1" applyBorder="1"/>
    <xf numFmtId="173" fontId="0" fillId="0" borderId="0" xfId="0" applyNumberFormat="1"/>
    <xf numFmtId="173" fontId="0" fillId="3" borderId="0" xfId="0" applyNumberFormat="1" applyFill="1"/>
    <xf numFmtId="0" fontId="0" fillId="0" borderId="0" xfId="0" applyAlignment="1">
      <alignment horizontal="left" vertical="center"/>
    </xf>
    <xf numFmtId="0" fontId="10"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vertical="center" wrapText="1"/>
    </xf>
    <xf numFmtId="0" fontId="15" fillId="0" borderId="0" xfId="0" applyFont="1" applyAlignment="1">
      <alignment horizontal="left" vertical="center"/>
    </xf>
    <xf numFmtId="0" fontId="12" fillId="0" borderId="0" xfId="0" applyFont="1" applyAlignment="1">
      <alignment horizontal="left" vertical="center" wrapText="1"/>
    </xf>
    <xf numFmtId="0" fontId="0" fillId="0" borderId="0" xfId="0" applyAlignment="1">
      <alignment horizontal="center"/>
    </xf>
    <xf numFmtId="0" fontId="1" fillId="3" borderId="0" xfId="0" applyFont="1" applyFill="1" applyAlignment="1">
      <alignment horizontal="left"/>
    </xf>
    <xf numFmtId="0" fontId="4" fillId="3" borderId="0" xfId="0" applyFont="1" applyFill="1" applyAlignment="1">
      <alignment horizontal="left"/>
    </xf>
    <xf numFmtId="0" fontId="0" fillId="3" borderId="0" xfId="0" applyFill="1" applyAlignment="1">
      <alignment horizontal="left" wrapText="1"/>
    </xf>
    <xf numFmtId="0" fontId="18" fillId="0" borderId="0" xfId="0" applyFont="1" applyAlignment="1">
      <alignment horizontal="center"/>
    </xf>
    <xf numFmtId="0" fontId="2" fillId="2" borderId="0" xfId="0" applyFont="1" applyFill="1" applyAlignment="1">
      <alignment horizontal="center"/>
    </xf>
    <xf numFmtId="0" fontId="2" fillId="2" borderId="0" xfId="0" applyFont="1" applyFill="1" applyAlignment="1">
      <alignment horizontal="left"/>
    </xf>
    <xf numFmtId="0" fontId="0" fillId="3" borderId="0" xfId="0" applyFill="1" applyAlignment="1">
      <alignment horizontal="left" vertical="center"/>
    </xf>
    <xf numFmtId="0" fontId="0" fillId="3" borderId="0" xfId="0" applyFill="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horizontal="left" wrapText="1"/>
    </xf>
    <xf numFmtId="0" fontId="4" fillId="3" borderId="0" xfId="0" applyFont="1" applyFill="1" applyAlignment="1">
      <alignment horizontal="left" wrapText="1"/>
    </xf>
    <xf numFmtId="0" fontId="1" fillId="3" borderId="0" xfId="0" applyFont="1" applyFill="1" applyAlignment="1">
      <alignment horizontal="left" vertical="center"/>
    </xf>
    <xf numFmtId="0" fontId="4" fillId="3" borderId="0" xfId="0" applyFont="1" applyFill="1" applyAlignment="1">
      <alignment horizontal="left" vertical="center"/>
    </xf>
    <xf numFmtId="0" fontId="1" fillId="3" borderId="0" xfId="0" applyFont="1" applyFill="1" applyAlignment="1">
      <alignment horizontal="left" vertical="center" wrapText="1"/>
    </xf>
    <xf numFmtId="0" fontId="4" fillId="3" borderId="0" xfId="0" applyFont="1" applyFill="1" applyAlignment="1">
      <alignment horizontal="left" vertical="center" wrapText="1"/>
    </xf>
    <xf numFmtId="0" fontId="0" fillId="3" borderId="0" xfId="0" applyFill="1" applyAlignment="1">
      <alignment horizontal="left" vertical="center" wrapText="1"/>
    </xf>
  </cellXfs>
  <cellStyles count="4">
    <cellStyle name="Currency" xfId="1" builtinId="4"/>
    <cellStyle name="Hyperlink" xfId="3" builtinId="8"/>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hr-HR"/>
              <a:t>stock</a:t>
            </a:r>
            <a:r>
              <a:rPr lang="hr-HR" baseline="0"/>
              <a:t> value</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invertIfNegative val="0"/>
          <c:dPt>
            <c:idx val="0"/>
            <c:invertIfNegative val="0"/>
            <c:bubble3D val="0"/>
            <c:spPr>
              <a:gradFill>
                <a:gsLst>
                  <a:gs pos="100000">
                    <a:schemeClr val="accent1">
                      <a:alpha val="0"/>
                    </a:schemeClr>
                  </a:gs>
                  <a:gs pos="50000">
                    <a:schemeClr val="accent1"/>
                  </a:gs>
                </a:gsLst>
                <a:lin ang="5400000" scaled="0"/>
              </a:gradFill>
              <a:ln>
                <a:noFill/>
              </a:ln>
              <a:effectLst/>
              <a:sp3d/>
            </c:spPr>
            <c:extLst>
              <c:ext xmlns:c16="http://schemas.microsoft.com/office/drawing/2014/chart" uri="{C3380CC4-5D6E-409C-BE32-E72D297353CC}">
                <c16:uniqueId val="{00000001-CE6C-4FB1-8029-01883EBF726D}"/>
              </c:ext>
            </c:extLst>
          </c:dPt>
          <c:dPt>
            <c:idx val="1"/>
            <c:invertIfNegative val="1"/>
            <c:bubble3D val="0"/>
            <c:spPr>
              <a:gradFill>
                <a:gsLst>
                  <a:gs pos="0">
                    <a:srgbClr val="00B050"/>
                  </a:gs>
                  <a:gs pos="100000">
                    <a:schemeClr val="bg1"/>
                  </a:gs>
                  <a:gs pos="98000">
                    <a:schemeClr val="bg1"/>
                  </a:gs>
                  <a:gs pos="100000">
                    <a:schemeClr val="bg1"/>
                  </a:gs>
                </a:gsLst>
                <a:lin ang="5400000" scaled="1"/>
              </a:gradFill>
              <a:ln>
                <a:noFill/>
              </a:ln>
              <a:effectLst/>
              <a:sp3d/>
            </c:spPr>
            <c:extLst>
              <c:ext xmlns:c16="http://schemas.microsoft.com/office/drawing/2014/chart" uri="{C3380CC4-5D6E-409C-BE32-E72D297353CC}">
                <c16:uniqueId val="{00000008-908A-492A-A4A2-8C66435D8E00}"/>
              </c:ext>
            </c:extLst>
          </c:dPt>
          <c:dPt>
            <c:idx val="2"/>
            <c:invertIfNegative val="1"/>
            <c:bubble3D val="0"/>
            <c:spPr>
              <a:gradFill>
                <a:gsLst>
                  <a:gs pos="0">
                    <a:srgbClr val="FF0000"/>
                  </a:gs>
                  <a:gs pos="100000">
                    <a:schemeClr val="bg1"/>
                  </a:gs>
                  <a:gs pos="100000">
                    <a:schemeClr val="bg1"/>
                  </a:gs>
                  <a:gs pos="100000">
                    <a:schemeClr val="bg1"/>
                  </a:gs>
                </a:gsLst>
                <a:lin ang="5400000" scaled="1"/>
              </a:gradFill>
              <a:ln>
                <a:noFill/>
              </a:ln>
              <a:effectLst/>
              <a:sp3d/>
            </c:spPr>
            <c:extLst>
              <c:ext xmlns:c16="http://schemas.microsoft.com/office/drawing/2014/chart" uri="{C3380CC4-5D6E-409C-BE32-E72D297353CC}">
                <c16:uniqueId val="{0000000A-908A-492A-A4A2-8C66435D8E00}"/>
              </c:ext>
            </c:extLst>
          </c:dPt>
          <c:cat>
            <c:strRef>
              <c:f>'P10 Valuation'!$A$49:$A$51</c:f>
              <c:strCache>
                <c:ptCount val="3"/>
                <c:pt idx="0">
                  <c:v>Stock price based on FCF</c:v>
                </c:pt>
                <c:pt idx="1">
                  <c:v>Stock price based on Dividends</c:v>
                </c:pt>
                <c:pt idx="2">
                  <c:v>Market price</c:v>
                </c:pt>
              </c:strCache>
            </c:strRef>
          </c:cat>
          <c:val>
            <c:numRef>
              <c:f>'P10 Valuation'!$B$49:$B$51</c:f>
              <c:numCache>
                <c:formatCode>[$$-409]#,##0.00</c:formatCode>
                <c:ptCount val="3"/>
                <c:pt idx="0">
                  <c:v>1.7827491326764904</c:v>
                </c:pt>
                <c:pt idx="1">
                  <c:v>1.2768314780761807</c:v>
                </c:pt>
                <c:pt idx="2">
                  <c:v>2.39</c:v>
                </c:pt>
              </c:numCache>
            </c:numRef>
          </c:val>
          <c:extLst>
            <c:ext xmlns:c16="http://schemas.microsoft.com/office/drawing/2014/chart" uri="{C3380CC4-5D6E-409C-BE32-E72D297353CC}">
              <c16:uniqueId val="{00000000-908A-492A-A4A2-8C66435D8E00}"/>
            </c:ext>
          </c:extLst>
        </c:ser>
        <c:dLbls>
          <c:showLegendKey val="0"/>
          <c:showVal val="0"/>
          <c:showCatName val="0"/>
          <c:showSerName val="0"/>
          <c:showPercent val="0"/>
          <c:showBubbleSize val="0"/>
        </c:dLbls>
        <c:gapWidth val="150"/>
        <c:gapDepth val="0"/>
        <c:shape val="box"/>
        <c:axId val="688759183"/>
        <c:axId val="688764175"/>
        <c:axId val="0"/>
      </c:bar3DChart>
      <c:catAx>
        <c:axId val="688759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688764175"/>
        <c:crosses val="autoZero"/>
        <c:auto val="1"/>
        <c:lblAlgn val="ctr"/>
        <c:lblOffset val="100"/>
        <c:noMultiLvlLbl val="0"/>
      </c:catAx>
      <c:valAx>
        <c:axId val="688764175"/>
        <c:scaling>
          <c:orientation val="minMax"/>
        </c:scaling>
        <c:delete val="0"/>
        <c:axPos val="l"/>
        <c:majorGridlines>
          <c:spPr>
            <a:ln w="9525" cap="flat" cmpd="sng" algn="ctr">
              <a:solidFill>
                <a:schemeClr val="tx1">
                  <a:lumMod val="5000"/>
                  <a:lumOff val="9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688759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r-Latn-R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jpeg"/></Relationships>
</file>

<file path=xl/drawings/_rels/drawing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6.xml.rels><?xml version="1.0" encoding="UTF-8" standalone="yes"?>
<Relationships xmlns="http://schemas.openxmlformats.org/package/2006/relationships"><Relationship Id="rId1" Type="http://schemas.openxmlformats.org/officeDocument/2006/relationships/image" Target="../media/image9.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12</xdr:row>
      <xdr:rowOff>108856</xdr:rowOff>
    </xdr:from>
    <xdr:to>
      <xdr:col>6</xdr:col>
      <xdr:colOff>269966</xdr:colOff>
      <xdr:row>19</xdr:row>
      <xdr:rowOff>148045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43643" y="2139042"/>
          <a:ext cx="3345180" cy="1927860"/>
        </a:xfrm>
        <a:prstGeom prst="rect">
          <a:avLst/>
        </a:prstGeom>
      </xdr:spPr>
    </xdr:pic>
    <xdr:clientData/>
  </xdr:twoCellAnchor>
  <xdr:twoCellAnchor editAs="oneCell">
    <xdr:from>
      <xdr:col>2</xdr:col>
      <xdr:colOff>0</xdr:colOff>
      <xdr:row>1</xdr:row>
      <xdr:rowOff>0</xdr:rowOff>
    </xdr:from>
    <xdr:to>
      <xdr:col>6</xdr:col>
      <xdr:colOff>168729</xdr:colOff>
      <xdr:row>5</xdr:row>
      <xdr:rowOff>77289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1306286" y="157843"/>
          <a:ext cx="2781300" cy="7086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206828</xdr:colOff>
      <xdr:row>4</xdr:row>
      <xdr:rowOff>157842</xdr:rowOff>
    </xdr:from>
    <xdr:to>
      <xdr:col>0</xdr:col>
      <xdr:colOff>408214</xdr:colOff>
      <xdr:row>6</xdr:row>
      <xdr:rowOff>16327</xdr:rowOff>
    </xdr:to>
    <xdr:sp macro="" textlink="">
      <xdr:nvSpPr>
        <xdr:cNvPr id="2" name="Plus 1">
          <a:extLst>
            <a:ext uri="{FF2B5EF4-FFF2-40B4-BE49-F238E27FC236}">
              <a16:creationId xmlns:a16="http://schemas.microsoft.com/office/drawing/2014/main" id="{00000000-0008-0000-0100-000002000000}"/>
            </a:ext>
          </a:extLst>
        </xdr:cNvPr>
        <xdr:cNvSpPr/>
      </xdr:nvSpPr>
      <xdr:spPr>
        <a:xfrm>
          <a:off x="206828" y="789213"/>
          <a:ext cx="201386" cy="174171"/>
        </a:xfrm>
        <a:prstGeom prst="mathPlus">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185057</xdr:colOff>
      <xdr:row>9</xdr:row>
      <xdr:rowOff>179613</xdr:rowOff>
    </xdr:from>
    <xdr:to>
      <xdr:col>0</xdr:col>
      <xdr:colOff>386443</xdr:colOff>
      <xdr:row>10</xdr:row>
      <xdr:rowOff>174170</xdr:rowOff>
    </xdr:to>
    <xdr:sp macro="" textlink="">
      <xdr:nvSpPr>
        <xdr:cNvPr id="6" name="Plus 5">
          <a:extLst>
            <a:ext uri="{FF2B5EF4-FFF2-40B4-BE49-F238E27FC236}">
              <a16:creationId xmlns:a16="http://schemas.microsoft.com/office/drawing/2014/main" id="{00000000-0008-0000-0100-000006000000}"/>
            </a:ext>
          </a:extLst>
        </xdr:cNvPr>
        <xdr:cNvSpPr/>
      </xdr:nvSpPr>
      <xdr:spPr>
        <a:xfrm>
          <a:off x="185057" y="2139042"/>
          <a:ext cx="201386" cy="174171"/>
        </a:xfrm>
        <a:prstGeom prst="mathPlus">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201386</xdr:colOff>
      <xdr:row>6</xdr:row>
      <xdr:rowOff>0</xdr:rowOff>
    </xdr:from>
    <xdr:to>
      <xdr:col>0</xdr:col>
      <xdr:colOff>402772</xdr:colOff>
      <xdr:row>7</xdr:row>
      <xdr:rowOff>0</xdr:rowOff>
    </xdr:to>
    <xdr:sp macro="" textlink="">
      <xdr:nvSpPr>
        <xdr:cNvPr id="7" name="Plus 6">
          <a:extLst>
            <a:ext uri="{FF2B5EF4-FFF2-40B4-BE49-F238E27FC236}">
              <a16:creationId xmlns:a16="http://schemas.microsoft.com/office/drawing/2014/main" id="{00000000-0008-0000-0100-000007000000}"/>
            </a:ext>
          </a:extLst>
        </xdr:cNvPr>
        <xdr:cNvSpPr/>
      </xdr:nvSpPr>
      <xdr:spPr>
        <a:xfrm>
          <a:off x="201386" y="947057"/>
          <a:ext cx="201386" cy="174171"/>
        </a:xfrm>
        <a:prstGeom prst="mathPlus">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195943</xdr:colOff>
      <xdr:row>7</xdr:row>
      <xdr:rowOff>10885</xdr:rowOff>
    </xdr:from>
    <xdr:to>
      <xdr:col>0</xdr:col>
      <xdr:colOff>397329</xdr:colOff>
      <xdr:row>8</xdr:row>
      <xdr:rowOff>5442</xdr:rowOff>
    </xdr:to>
    <xdr:sp macro="" textlink="">
      <xdr:nvSpPr>
        <xdr:cNvPr id="8" name="Plus 7">
          <a:extLst>
            <a:ext uri="{FF2B5EF4-FFF2-40B4-BE49-F238E27FC236}">
              <a16:creationId xmlns:a16="http://schemas.microsoft.com/office/drawing/2014/main" id="{00000000-0008-0000-0100-000008000000}"/>
            </a:ext>
          </a:extLst>
        </xdr:cNvPr>
        <xdr:cNvSpPr/>
      </xdr:nvSpPr>
      <xdr:spPr>
        <a:xfrm>
          <a:off x="195943" y="1611085"/>
          <a:ext cx="201386" cy="174171"/>
        </a:xfrm>
        <a:prstGeom prst="mathPlus">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195942</xdr:colOff>
      <xdr:row>8</xdr:row>
      <xdr:rowOff>0</xdr:rowOff>
    </xdr:from>
    <xdr:to>
      <xdr:col>0</xdr:col>
      <xdr:colOff>397328</xdr:colOff>
      <xdr:row>8</xdr:row>
      <xdr:rowOff>174171</xdr:rowOff>
    </xdr:to>
    <xdr:sp macro="" textlink="">
      <xdr:nvSpPr>
        <xdr:cNvPr id="9" name="Plus 8">
          <a:extLst>
            <a:ext uri="{FF2B5EF4-FFF2-40B4-BE49-F238E27FC236}">
              <a16:creationId xmlns:a16="http://schemas.microsoft.com/office/drawing/2014/main" id="{00000000-0008-0000-0100-000009000000}"/>
            </a:ext>
          </a:extLst>
        </xdr:cNvPr>
        <xdr:cNvSpPr/>
      </xdr:nvSpPr>
      <xdr:spPr>
        <a:xfrm>
          <a:off x="195942" y="1779814"/>
          <a:ext cx="201386" cy="174171"/>
        </a:xfrm>
        <a:prstGeom prst="mathPlus">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9</xdr:row>
      <xdr:rowOff>10886</xdr:rowOff>
    </xdr:from>
    <xdr:to>
      <xdr:col>0</xdr:col>
      <xdr:colOff>391886</xdr:colOff>
      <xdr:row>10</xdr:row>
      <xdr:rowOff>5443</xdr:rowOff>
    </xdr:to>
    <xdr:sp macro="" textlink="">
      <xdr:nvSpPr>
        <xdr:cNvPr id="10" name="Plus 9">
          <a:extLst>
            <a:ext uri="{FF2B5EF4-FFF2-40B4-BE49-F238E27FC236}">
              <a16:creationId xmlns:a16="http://schemas.microsoft.com/office/drawing/2014/main" id="{00000000-0008-0000-0100-00000A000000}"/>
            </a:ext>
          </a:extLst>
        </xdr:cNvPr>
        <xdr:cNvSpPr/>
      </xdr:nvSpPr>
      <xdr:spPr>
        <a:xfrm>
          <a:off x="190500" y="1970315"/>
          <a:ext cx="201386" cy="174171"/>
        </a:xfrm>
        <a:prstGeom prst="mathPlus">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212271</xdr:colOff>
      <xdr:row>14</xdr:row>
      <xdr:rowOff>157842</xdr:rowOff>
    </xdr:from>
    <xdr:to>
      <xdr:col>0</xdr:col>
      <xdr:colOff>413657</xdr:colOff>
      <xdr:row>15</xdr:row>
      <xdr:rowOff>174170</xdr:rowOff>
    </xdr:to>
    <xdr:sp macro="" textlink="">
      <xdr:nvSpPr>
        <xdr:cNvPr id="11" name="Plus 10">
          <a:extLst>
            <a:ext uri="{FF2B5EF4-FFF2-40B4-BE49-F238E27FC236}">
              <a16:creationId xmlns:a16="http://schemas.microsoft.com/office/drawing/2014/main" id="{00000000-0008-0000-0100-00000B000000}"/>
            </a:ext>
          </a:extLst>
        </xdr:cNvPr>
        <xdr:cNvSpPr/>
      </xdr:nvSpPr>
      <xdr:spPr>
        <a:xfrm>
          <a:off x="212271" y="2454728"/>
          <a:ext cx="201386" cy="174171"/>
        </a:xfrm>
        <a:prstGeom prst="mathPlus">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206829</xdr:colOff>
      <xdr:row>16</xdr:row>
      <xdr:rowOff>16328</xdr:rowOff>
    </xdr:from>
    <xdr:to>
      <xdr:col>0</xdr:col>
      <xdr:colOff>408215</xdr:colOff>
      <xdr:row>17</xdr:row>
      <xdr:rowOff>10885</xdr:rowOff>
    </xdr:to>
    <xdr:sp macro="" textlink="">
      <xdr:nvSpPr>
        <xdr:cNvPr id="12" name="Plus 11">
          <a:extLst>
            <a:ext uri="{FF2B5EF4-FFF2-40B4-BE49-F238E27FC236}">
              <a16:creationId xmlns:a16="http://schemas.microsoft.com/office/drawing/2014/main" id="{00000000-0008-0000-0100-00000C000000}"/>
            </a:ext>
          </a:extLst>
        </xdr:cNvPr>
        <xdr:cNvSpPr/>
      </xdr:nvSpPr>
      <xdr:spPr>
        <a:xfrm>
          <a:off x="206829" y="2650671"/>
          <a:ext cx="201386" cy="174171"/>
        </a:xfrm>
        <a:prstGeom prst="mathPlus">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206828</xdr:colOff>
      <xdr:row>4</xdr:row>
      <xdr:rowOff>5443</xdr:rowOff>
    </xdr:from>
    <xdr:to>
      <xdr:col>0</xdr:col>
      <xdr:colOff>408214</xdr:colOff>
      <xdr:row>5</xdr:row>
      <xdr:rowOff>21771</xdr:rowOff>
    </xdr:to>
    <xdr:sp macro="" textlink="">
      <xdr:nvSpPr>
        <xdr:cNvPr id="13" name="Plus 12">
          <a:extLst>
            <a:ext uri="{FF2B5EF4-FFF2-40B4-BE49-F238E27FC236}">
              <a16:creationId xmlns:a16="http://schemas.microsoft.com/office/drawing/2014/main" id="{00000000-0008-0000-0100-00000D000000}"/>
            </a:ext>
          </a:extLst>
        </xdr:cNvPr>
        <xdr:cNvSpPr/>
      </xdr:nvSpPr>
      <xdr:spPr>
        <a:xfrm>
          <a:off x="206828" y="636814"/>
          <a:ext cx="201386" cy="174171"/>
        </a:xfrm>
        <a:prstGeom prst="mathPlus">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234043</xdr:colOff>
      <xdr:row>19</xdr:row>
      <xdr:rowOff>76200</xdr:rowOff>
    </xdr:from>
    <xdr:to>
      <xdr:col>0</xdr:col>
      <xdr:colOff>359229</xdr:colOff>
      <xdr:row>19</xdr:row>
      <xdr:rowOff>125186</xdr:rowOff>
    </xdr:to>
    <xdr:sp macro="" textlink="">
      <xdr:nvSpPr>
        <xdr:cNvPr id="14" name="Rectangle 13">
          <a:extLst>
            <a:ext uri="{FF2B5EF4-FFF2-40B4-BE49-F238E27FC236}">
              <a16:creationId xmlns:a16="http://schemas.microsoft.com/office/drawing/2014/main" id="{00000000-0008-0000-0100-00000E000000}"/>
            </a:ext>
          </a:extLst>
        </xdr:cNvPr>
        <xdr:cNvSpPr/>
      </xdr:nvSpPr>
      <xdr:spPr>
        <a:xfrm>
          <a:off x="234043" y="3227614"/>
          <a:ext cx="125186" cy="4898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223157</xdr:colOff>
      <xdr:row>20</xdr:row>
      <xdr:rowOff>76200</xdr:rowOff>
    </xdr:from>
    <xdr:to>
      <xdr:col>0</xdr:col>
      <xdr:colOff>348343</xdr:colOff>
      <xdr:row>20</xdr:row>
      <xdr:rowOff>125186</xdr:rowOff>
    </xdr:to>
    <xdr:sp macro="" textlink="">
      <xdr:nvSpPr>
        <xdr:cNvPr id="16" name="Rectangle 15">
          <a:extLst>
            <a:ext uri="{FF2B5EF4-FFF2-40B4-BE49-F238E27FC236}">
              <a16:creationId xmlns:a16="http://schemas.microsoft.com/office/drawing/2014/main" id="{00000000-0008-0000-0100-000010000000}"/>
            </a:ext>
          </a:extLst>
        </xdr:cNvPr>
        <xdr:cNvSpPr/>
      </xdr:nvSpPr>
      <xdr:spPr>
        <a:xfrm>
          <a:off x="223157" y="3385457"/>
          <a:ext cx="125186" cy="4898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223157</xdr:colOff>
      <xdr:row>21</xdr:row>
      <xdr:rowOff>65314</xdr:rowOff>
    </xdr:from>
    <xdr:to>
      <xdr:col>0</xdr:col>
      <xdr:colOff>348343</xdr:colOff>
      <xdr:row>21</xdr:row>
      <xdr:rowOff>114300</xdr:rowOff>
    </xdr:to>
    <xdr:sp macro="" textlink="">
      <xdr:nvSpPr>
        <xdr:cNvPr id="17" name="Rectangle 16">
          <a:extLst>
            <a:ext uri="{FF2B5EF4-FFF2-40B4-BE49-F238E27FC236}">
              <a16:creationId xmlns:a16="http://schemas.microsoft.com/office/drawing/2014/main" id="{00000000-0008-0000-0100-000011000000}"/>
            </a:ext>
          </a:extLst>
        </xdr:cNvPr>
        <xdr:cNvSpPr/>
      </xdr:nvSpPr>
      <xdr:spPr>
        <a:xfrm>
          <a:off x="223157" y="3532414"/>
          <a:ext cx="125186" cy="4898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217715</xdr:colOff>
      <xdr:row>23</xdr:row>
      <xdr:rowOff>65314</xdr:rowOff>
    </xdr:from>
    <xdr:to>
      <xdr:col>0</xdr:col>
      <xdr:colOff>342901</xdr:colOff>
      <xdr:row>23</xdr:row>
      <xdr:rowOff>114300</xdr:rowOff>
    </xdr:to>
    <xdr:sp macro="" textlink="">
      <xdr:nvSpPr>
        <xdr:cNvPr id="19" name="Rectangle 18">
          <a:extLst>
            <a:ext uri="{FF2B5EF4-FFF2-40B4-BE49-F238E27FC236}">
              <a16:creationId xmlns:a16="http://schemas.microsoft.com/office/drawing/2014/main" id="{00000000-0008-0000-0100-000013000000}"/>
            </a:ext>
          </a:extLst>
        </xdr:cNvPr>
        <xdr:cNvSpPr/>
      </xdr:nvSpPr>
      <xdr:spPr>
        <a:xfrm>
          <a:off x="217715" y="3869871"/>
          <a:ext cx="125186" cy="4898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212272</xdr:colOff>
      <xdr:row>24</xdr:row>
      <xdr:rowOff>59872</xdr:rowOff>
    </xdr:from>
    <xdr:to>
      <xdr:col>0</xdr:col>
      <xdr:colOff>337458</xdr:colOff>
      <xdr:row>24</xdr:row>
      <xdr:rowOff>108858</xdr:rowOff>
    </xdr:to>
    <xdr:sp macro="" textlink="">
      <xdr:nvSpPr>
        <xdr:cNvPr id="20" name="Rectangle 19">
          <a:extLst>
            <a:ext uri="{FF2B5EF4-FFF2-40B4-BE49-F238E27FC236}">
              <a16:creationId xmlns:a16="http://schemas.microsoft.com/office/drawing/2014/main" id="{00000000-0008-0000-0100-000014000000}"/>
            </a:ext>
          </a:extLst>
        </xdr:cNvPr>
        <xdr:cNvSpPr/>
      </xdr:nvSpPr>
      <xdr:spPr>
        <a:xfrm>
          <a:off x="212272" y="4022272"/>
          <a:ext cx="125186" cy="4898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212271</xdr:colOff>
      <xdr:row>22</xdr:row>
      <xdr:rowOff>70757</xdr:rowOff>
    </xdr:from>
    <xdr:to>
      <xdr:col>0</xdr:col>
      <xdr:colOff>337457</xdr:colOff>
      <xdr:row>22</xdr:row>
      <xdr:rowOff>119743</xdr:rowOff>
    </xdr:to>
    <xdr:sp macro="" textlink="">
      <xdr:nvSpPr>
        <xdr:cNvPr id="21" name="Rectangle 20">
          <a:extLst>
            <a:ext uri="{FF2B5EF4-FFF2-40B4-BE49-F238E27FC236}">
              <a16:creationId xmlns:a16="http://schemas.microsoft.com/office/drawing/2014/main" id="{00000000-0008-0000-0100-000015000000}"/>
            </a:ext>
          </a:extLst>
        </xdr:cNvPr>
        <xdr:cNvSpPr/>
      </xdr:nvSpPr>
      <xdr:spPr>
        <a:xfrm>
          <a:off x="212271" y="3695700"/>
          <a:ext cx="125186" cy="4898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228600</xdr:colOff>
      <xdr:row>0</xdr:row>
      <xdr:rowOff>5443</xdr:rowOff>
    </xdr:from>
    <xdr:to>
      <xdr:col>5</xdr:col>
      <xdr:colOff>247815</xdr:colOff>
      <xdr:row>3</xdr:row>
      <xdr:rowOff>5447</xdr:rowOff>
    </xdr:to>
    <xdr:pic>
      <xdr:nvPicPr>
        <xdr:cNvPr id="22" name="Picture 21" descr="Executive.jpg">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1" cstate="print"/>
        <a:stretch>
          <a:fillRect/>
        </a:stretch>
      </xdr:blipFill>
      <xdr:spPr>
        <a:xfrm>
          <a:off x="2841171" y="5443"/>
          <a:ext cx="672358" cy="571504"/>
        </a:xfrm>
        <a:prstGeom prst="rect">
          <a:avLst/>
        </a:prstGeom>
      </xdr:spPr>
    </xdr:pic>
    <xdr:clientData/>
  </xdr:twoCellAnchor>
  <xdr:twoCellAnchor editAs="oneCell">
    <xdr:from>
      <xdr:col>1</xdr:col>
      <xdr:colOff>136071</xdr:colOff>
      <xdr:row>0</xdr:row>
      <xdr:rowOff>54429</xdr:rowOff>
    </xdr:from>
    <xdr:to>
      <xdr:col>2</xdr:col>
      <xdr:colOff>348343</xdr:colOff>
      <xdr:row>3</xdr:row>
      <xdr:rowOff>1601</xdr:rowOff>
    </xdr:to>
    <xdr:pic>
      <xdr:nvPicPr>
        <xdr:cNvPr id="23" name="Picture 22" descr="2.Stakeholders.jpg">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2" cstate="print"/>
        <a:stretch>
          <a:fillRect/>
        </a:stretch>
      </xdr:blipFill>
      <xdr:spPr>
        <a:xfrm>
          <a:off x="789214" y="54429"/>
          <a:ext cx="865415" cy="5186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263673</xdr:colOff>
      <xdr:row>0</xdr:row>
      <xdr:rowOff>103413</xdr:rowOff>
    </xdr:from>
    <xdr:to>
      <xdr:col>10</xdr:col>
      <xdr:colOff>772886</xdr:colOff>
      <xdr:row>7</xdr:row>
      <xdr:rowOff>32657</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6414102" y="103413"/>
          <a:ext cx="1913470" cy="1132115"/>
        </a:xfrm>
        <a:prstGeom prst="rect">
          <a:avLst/>
        </a:prstGeom>
      </xdr:spPr>
    </xdr:pic>
    <xdr:clientData/>
  </xdr:twoCellAnchor>
  <xdr:twoCellAnchor editAs="oneCell">
    <xdr:from>
      <xdr:col>1</xdr:col>
      <xdr:colOff>38100</xdr:colOff>
      <xdr:row>4</xdr:row>
      <xdr:rowOff>137160</xdr:rowOff>
    </xdr:from>
    <xdr:to>
      <xdr:col>1</xdr:col>
      <xdr:colOff>1699260</xdr:colOff>
      <xdr:row>9</xdr:row>
      <xdr:rowOff>60960</xdr:rowOff>
    </xdr:to>
    <xdr:pic>
      <xdr:nvPicPr>
        <xdr:cNvPr id="3" name="Picture 2">
          <a:extLst>
            <a:ext uri="{FF2B5EF4-FFF2-40B4-BE49-F238E27FC236}">
              <a16:creationId xmlns:a16="http://schemas.microsoft.com/office/drawing/2014/main" id="{AD584A8D-C7AB-CDD8-5BCD-27C69CCD79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340" y="906780"/>
          <a:ext cx="1661160" cy="762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620486</xdr:colOff>
      <xdr:row>0</xdr:row>
      <xdr:rowOff>234043</xdr:rowOff>
    </xdr:from>
    <xdr:to>
      <xdr:col>11</xdr:col>
      <xdr:colOff>620487</xdr:colOff>
      <xdr:row>5</xdr:row>
      <xdr:rowOff>103414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8599715" y="234043"/>
          <a:ext cx="1306286" cy="8708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9</xdr:col>
      <xdr:colOff>136071</xdr:colOff>
      <xdr:row>0</xdr:row>
      <xdr:rowOff>70757</xdr:rowOff>
    </xdr:from>
    <xdr:to>
      <xdr:col>11</xdr:col>
      <xdr:colOff>369025</xdr:colOff>
      <xdr:row>5</xdr:row>
      <xdr:rowOff>10886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8044542" y="70757"/>
          <a:ext cx="1539240" cy="9252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8</xdr:col>
      <xdr:colOff>168729</xdr:colOff>
      <xdr:row>0</xdr:row>
      <xdr:rowOff>21771</xdr:rowOff>
    </xdr:from>
    <xdr:to>
      <xdr:col>9</xdr:col>
      <xdr:colOff>643346</xdr:colOff>
      <xdr:row>10</xdr:row>
      <xdr:rowOff>81643</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7886700" y="21771"/>
          <a:ext cx="1127760" cy="18505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10</xdr:col>
      <xdr:colOff>33745</xdr:colOff>
      <xdr:row>0</xdr:row>
      <xdr:rowOff>65313</xdr:rowOff>
    </xdr:from>
    <xdr:to>
      <xdr:col>11</xdr:col>
      <xdr:colOff>486591</xdr:colOff>
      <xdr:row>6</xdr:row>
      <xdr:rowOff>52723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10656025" y="65313"/>
          <a:ext cx="1230086" cy="11837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9</xdr:col>
      <xdr:colOff>593270</xdr:colOff>
      <xdr:row>0</xdr:row>
      <xdr:rowOff>79467</xdr:rowOff>
    </xdr:from>
    <xdr:to>
      <xdr:col>13</xdr:col>
      <xdr:colOff>124097</xdr:colOff>
      <xdr:row>7</xdr:row>
      <xdr:rowOff>164278</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8822870" y="79467"/>
          <a:ext cx="1969227" cy="140307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9</xdr:col>
      <xdr:colOff>130629</xdr:colOff>
      <xdr:row>0</xdr:row>
      <xdr:rowOff>97972</xdr:rowOff>
    </xdr:from>
    <xdr:to>
      <xdr:col>11</xdr:col>
      <xdr:colOff>633547</xdr:colOff>
      <xdr:row>7</xdr:row>
      <xdr:rowOff>3898</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8022772" y="97972"/>
          <a:ext cx="1809204" cy="116866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8</xdr:col>
      <xdr:colOff>217713</xdr:colOff>
      <xdr:row>0</xdr:row>
      <xdr:rowOff>81642</xdr:rowOff>
    </xdr:from>
    <xdr:to>
      <xdr:col>11</xdr:col>
      <xdr:colOff>277585</xdr:colOff>
      <xdr:row>7</xdr:row>
      <xdr:rowOff>6531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7277099" y="81642"/>
          <a:ext cx="2019300" cy="118763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27216</xdr:colOff>
      <xdr:row>0</xdr:row>
      <xdr:rowOff>70756</xdr:rowOff>
    </xdr:from>
    <xdr:to>
      <xdr:col>12</xdr:col>
      <xdr:colOff>862149</xdr:colOff>
      <xdr:row>8</xdr:row>
      <xdr:rowOff>84049</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9122230" y="70756"/>
          <a:ext cx="2329542" cy="1531850"/>
        </a:xfrm>
        <a:prstGeom prst="rect">
          <a:avLst/>
        </a:prstGeom>
      </xdr:spPr>
    </xdr:pic>
    <xdr:clientData/>
  </xdr:twoCellAnchor>
  <xdr:twoCellAnchor>
    <xdr:from>
      <xdr:col>2</xdr:col>
      <xdr:colOff>590550</xdr:colOff>
      <xdr:row>37</xdr:row>
      <xdr:rowOff>114300</xdr:rowOff>
    </xdr:from>
    <xdr:to>
      <xdr:col>9</xdr:col>
      <xdr:colOff>544285</xdr:colOff>
      <xdr:row>54</xdr:row>
      <xdr:rowOff>152400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114300</xdr:colOff>
      <xdr:row>0</xdr:row>
      <xdr:rowOff>97973</xdr:rowOff>
    </xdr:from>
    <xdr:to>
      <xdr:col>14</xdr:col>
      <xdr:colOff>578032</xdr:colOff>
      <xdr:row>8</xdr:row>
      <xdr:rowOff>70759</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8964386" y="97973"/>
          <a:ext cx="2423160" cy="13716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26</xdr:row>
      <xdr:rowOff>95257</xdr:rowOff>
    </xdr:from>
    <xdr:to>
      <xdr:col>5</xdr:col>
      <xdr:colOff>43543</xdr:colOff>
      <xdr:row>36</xdr:row>
      <xdr:rowOff>0</xdr:rowOff>
    </xdr:to>
    <xdr:pic>
      <xdr:nvPicPr>
        <xdr:cNvPr id="2" name="Picture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91700"/>
          <a:ext cx="4876800" cy="15593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381000</xdr:colOff>
      <xdr:row>0</xdr:row>
      <xdr:rowOff>87086</xdr:rowOff>
    </xdr:from>
    <xdr:to>
      <xdr:col>9</xdr:col>
      <xdr:colOff>76200</xdr:colOff>
      <xdr:row>9</xdr:row>
      <xdr:rowOff>96023</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5214257" y="87086"/>
          <a:ext cx="2307772" cy="152749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wipro.com/"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H60"/>
  <sheetViews>
    <sheetView showGridLines="0" tabSelected="1" workbookViewId="0">
      <selection activeCell="A10" sqref="A10:H10"/>
    </sheetView>
  </sheetViews>
  <sheetFormatPr defaultRowHeight="13.2"/>
  <cols>
    <col min="8" max="8" width="13.109375" customWidth="1"/>
  </cols>
  <sheetData>
    <row r="8" spans="1:8" ht="14.4">
      <c r="E8" s="26" t="s">
        <v>63</v>
      </c>
    </row>
    <row r="9" spans="1:8" ht="14.4">
      <c r="E9" s="26"/>
    </row>
    <row r="10" spans="1:8" ht="14.4">
      <c r="A10" s="203" t="s">
        <v>64</v>
      </c>
      <c r="B10" s="203"/>
      <c r="C10" s="203"/>
      <c r="D10" s="203"/>
      <c r="E10" s="203"/>
      <c r="F10" s="203"/>
      <c r="G10" s="203"/>
      <c r="H10" s="203"/>
    </row>
    <row r="11" spans="1:8" ht="14.4">
      <c r="A11" s="28"/>
      <c r="B11" s="28"/>
      <c r="C11" s="28"/>
      <c r="D11" s="28"/>
      <c r="E11" s="28"/>
      <c r="F11" s="28"/>
      <c r="G11" s="28"/>
      <c r="H11" s="28"/>
    </row>
    <row r="12" spans="1:8" ht="14.4">
      <c r="A12" s="204" t="s">
        <v>66</v>
      </c>
      <c r="B12" s="204"/>
      <c r="C12" s="204"/>
      <c r="D12" s="204"/>
      <c r="E12" s="204"/>
      <c r="F12" s="204"/>
      <c r="G12" s="204"/>
      <c r="H12" s="204"/>
    </row>
    <row r="13" spans="1:8">
      <c r="A13" s="25"/>
    </row>
    <row r="14" spans="1:8" ht="63" customHeight="1">
      <c r="A14" s="205"/>
      <c r="B14" s="205"/>
      <c r="C14" s="205"/>
      <c r="D14" s="205"/>
      <c r="E14" s="205"/>
      <c r="F14" s="205"/>
      <c r="G14" s="205"/>
      <c r="H14" s="205"/>
    </row>
    <row r="16" spans="1:8" ht="22.05" customHeight="1"/>
    <row r="18" spans="1:8" ht="13.8">
      <c r="A18" s="27"/>
    </row>
    <row r="21" spans="1:8" ht="18" customHeight="1">
      <c r="A21" s="32" t="s">
        <v>83</v>
      </c>
    </row>
    <row r="22" spans="1:8" ht="14.1" customHeight="1">
      <c r="A22" s="5" t="s">
        <v>128</v>
      </c>
    </row>
    <row r="23" spans="1:8">
      <c r="A23" s="31" t="s">
        <v>80</v>
      </c>
    </row>
    <row r="24" spans="1:8">
      <c r="A24" s="31" t="s">
        <v>81</v>
      </c>
    </row>
    <row r="25" spans="1:8">
      <c r="A25" s="31" t="s">
        <v>82</v>
      </c>
    </row>
    <row r="26" spans="1:8" ht="20.100000000000001" customHeight="1">
      <c r="A26" s="207" t="s">
        <v>72</v>
      </c>
      <c r="B26" s="207"/>
      <c r="C26" s="207"/>
      <c r="D26" s="207"/>
      <c r="E26" s="207"/>
      <c r="F26" s="207"/>
      <c r="G26" s="207"/>
      <c r="H26" s="207"/>
    </row>
    <row r="27" spans="1:8">
      <c r="A27" s="206" t="s">
        <v>65</v>
      </c>
      <c r="B27" s="206"/>
      <c r="C27" s="206"/>
      <c r="D27" s="206"/>
      <c r="E27" s="206"/>
      <c r="F27" s="206"/>
      <c r="G27" s="206"/>
      <c r="H27" s="206"/>
    </row>
    <row r="28" spans="1:8" ht="14.7" customHeight="1">
      <c r="A28" s="31" t="s">
        <v>67</v>
      </c>
      <c r="B28" s="31"/>
      <c r="C28" s="31"/>
      <c r="D28" s="31"/>
      <c r="E28" s="31"/>
      <c r="F28" s="31"/>
      <c r="G28" s="31"/>
      <c r="H28" s="31"/>
    </row>
    <row r="29" spans="1:8" ht="13.8">
      <c r="A29" s="30"/>
      <c r="B29" s="30"/>
      <c r="C29" s="30"/>
      <c r="D29" s="30"/>
      <c r="E29" s="30"/>
      <c r="F29" s="30"/>
      <c r="G29" s="30"/>
      <c r="H29" s="30"/>
    </row>
    <row r="30" spans="1:8" ht="13.8">
      <c r="A30" s="32" t="s">
        <v>84</v>
      </c>
    </row>
    <row r="31" spans="1:8">
      <c r="A31" s="97" t="s">
        <v>93</v>
      </c>
    </row>
    <row r="32" spans="1:8">
      <c r="A32" s="97" t="s">
        <v>91</v>
      </c>
    </row>
    <row r="33" spans="1:3">
      <c r="A33" s="97" t="s">
        <v>85</v>
      </c>
    </row>
    <row r="34" spans="1:3">
      <c r="A34" s="97" t="s">
        <v>291</v>
      </c>
    </row>
    <row r="35" spans="1:3">
      <c r="A35" s="97" t="s">
        <v>86</v>
      </c>
    </row>
    <row r="36" spans="1:3">
      <c r="A36" s="97" t="s">
        <v>87</v>
      </c>
    </row>
    <row r="37" spans="1:3">
      <c r="A37" s="97" t="s">
        <v>92</v>
      </c>
    </row>
    <row r="38" spans="1:3">
      <c r="A38" s="97" t="s">
        <v>88</v>
      </c>
    </row>
    <row r="39" spans="1:3">
      <c r="A39" s="97" t="s">
        <v>89</v>
      </c>
    </row>
    <row r="40" spans="1:3">
      <c r="A40" s="97" t="s">
        <v>90</v>
      </c>
    </row>
    <row r="41" spans="1:3">
      <c r="A41" s="97" t="s">
        <v>68</v>
      </c>
    </row>
    <row r="42" spans="1:3">
      <c r="A42" s="97" t="s">
        <v>208</v>
      </c>
    </row>
    <row r="43" spans="1:3">
      <c r="A43" s="97" t="s">
        <v>209</v>
      </c>
    </row>
    <row r="44" spans="1:3">
      <c r="A44" s="97" t="s">
        <v>210</v>
      </c>
    </row>
    <row r="45" spans="1:3">
      <c r="A45" s="97" t="s">
        <v>211</v>
      </c>
    </row>
    <row r="46" spans="1:3">
      <c r="A46" s="5"/>
    </row>
    <row r="47" spans="1:3">
      <c r="A47" s="5" t="s">
        <v>69</v>
      </c>
    </row>
    <row r="48" spans="1:3">
      <c r="A48" s="5" t="s">
        <v>70</v>
      </c>
      <c r="C48" s="5" t="s">
        <v>71</v>
      </c>
    </row>
    <row r="49" spans="1:3">
      <c r="A49" s="5"/>
      <c r="C49" s="29" t="s">
        <v>73</v>
      </c>
    </row>
    <row r="50" spans="1:3">
      <c r="C50" s="29" t="s">
        <v>74</v>
      </c>
    </row>
    <row r="51" spans="1:3">
      <c r="C51" s="29" t="s">
        <v>75</v>
      </c>
    </row>
    <row r="52" spans="1:3">
      <c r="C52" s="29" t="s">
        <v>76</v>
      </c>
    </row>
    <row r="53" spans="1:3">
      <c r="C53" s="29" t="s">
        <v>77</v>
      </c>
    </row>
    <row r="54" spans="1:3">
      <c r="C54" s="29" t="s">
        <v>267</v>
      </c>
    </row>
    <row r="55" spans="1:3">
      <c r="C55" s="29" t="s">
        <v>78</v>
      </c>
    </row>
    <row r="56" spans="1:3">
      <c r="C56" s="29" t="s">
        <v>79</v>
      </c>
    </row>
    <row r="57" spans="1:3">
      <c r="C57" s="29" t="s">
        <v>205</v>
      </c>
    </row>
    <row r="58" spans="1:3">
      <c r="C58" s="29" t="s">
        <v>206</v>
      </c>
    </row>
    <row r="59" spans="1:3">
      <c r="C59" s="29" t="s">
        <v>207</v>
      </c>
    </row>
    <row r="60" spans="1:3">
      <c r="C60" s="29" t="s">
        <v>212</v>
      </c>
    </row>
  </sheetData>
  <mergeCells count="5">
    <mergeCell ref="A10:H10"/>
    <mergeCell ref="A12:H12"/>
    <mergeCell ref="A14:H14"/>
    <mergeCell ref="A27:H27"/>
    <mergeCell ref="A26:H26"/>
  </mergeCells>
  <hyperlinks>
    <hyperlink ref="C49" location="'P1 Tips'!A1" display="'P1 Tips'!A1" xr:uid="{00000000-0004-0000-0000-000000000000}"/>
    <hyperlink ref="C50" location="'P2 History'!A1" display="'P2 History'!A1" xr:uid="{00000000-0004-0000-0000-000001000000}"/>
    <hyperlink ref="C51" location="'P3 Inputs'!A1" display="'P3 Inputs'!A1" xr:uid="{00000000-0004-0000-0000-000002000000}"/>
    <hyperlink ref="C52" location="'P4 Assets amortization'!A1" display="'P4 Assets amortization'!A1" xr:uid="{00000000-0004-0000-0000-000003000000}"/>
    <hyperlink ref="C53" location="'P5 Cost of capital'!A1" display="'P5 Cost of capital'!A1" xr:uid="{00000000-0004-0000-0000-000004000000}"/>
    <hyperlink ref="C55" location="'P7 CF''s projection'!A1" display="'P7 CF''s projection'!A1" xr:uid="{00000000-0004-0000-0000-000005000000}"/>
    <hyperlink ref="C56" location="'P8 Scenarios'!A1" display="'P8 Scenarios'!A1" xr:uid="{00000000-0004-0000-0000-000006000000}"/>
    <hyperlink ref="C57" location="'P9 NWC'!A1" display="'P9 NWC'!A1" xr:uid="{00000000-0004-0000-0000-000007000000}"/>
    <hyperlink ref="C58" location="'P10 Valuation'!A1" display="'P10 Valuation'!A1" xr:uid="{00000000-0004-0000-0000-000008000000}"/>
    <hyperlink ref="C59" location="'P11 Conclusion'!A1" display="'P11 Conclusion'!A1" xr:uid="{00000000-0004-0000-0000-000009000000}"/>
    <hyperlink ref="C60" location="'P12 Instructor'!A1" display="'P12 Instructor'!A1" xr:uid="{00000000-0004-0000-0000-00000A000000}"/>
    <hyperlink ref="C54" location="'P6 P&amp;L and BS Projection'!A1" display="'P6 P&amp;L and BS Projection'!A1" xr:uid="{00000000-0004-0000-0000-00000B000000}"/>
  </hyperlinks>
  <pageMargins left="0.7" right="0.7" top="0.75" bottom="0.75" header="0.3" footer="0.3"/>
  <pageSetup paperSize="9"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8"/>
  <sheetViews>
    <sheetView workbookViewId="0"/>
  </sheetViews>
  <sheetFormatPr defaultRowHeight="13.2"/>
  <sheetData>
    <row r="2" spans="2:4" ht="21">
      <c r="D2" s="34" t="s">
        <v>94</v>
      </c>
    </row>
    <row r="5" spans="2:4">
      <c r="B5" s="97" t="s">
        <v>288</v>
      </c>
    </row>
    <row r="6" spans="2:4">
      <c r="B6" s="5" t="s">
        <v>96</v>
      </c>
    </row>
    <row r="7" spans="2:4">
      <c r="B7" s="5" t="s">
        <v>125</v>
      </c>
    </row>
    <row r="8" spans="2:4">
      <c r="B8" s="98" t="s">
        <v>99</v>
      </c>
    </row>
    <row r="9" spans="2:4">
      <c r="B9" s="98" t="s">
        <v>126</v>
      </c>
    </row>
    <row r="10" spans="2:4">
      <c r="B10" s="98" t="s">
        <v>127</v>
      </c>
    </row>
    <row r="11" spans="2:4">
      <c r="B11" s="98" t="s">
        <v>101</v>
      </c>
    </row>
    <row r="12" spans="2:4">
      <c r="D12" s="5" t="s">
        <v>102</v>
      </c>
    </row>
    <row r="13" spans="2:4">
      <c r="D13" s="5" t="s">
        <v>107</v>
      </c>
    </row>
    <row r="14" spans="2:4">
      <c r="D14" s="5" t="s">
        <v>103</v>
      </c>
    </row>
    <row r="15" spans="2:4">
      <c r="D15" t="s">
        <v>104</v>
      </c>
    </row>
    <row r="16" spans="2:4">
      <c r="B16" s="98" t="s">
        <v>100</v>
      </c>
    </row>
    <row r="17" spans="2:2">
      <c r="B17" s="98" t="s">
        <v>105</v>
      </c>
    </row>
    <row r="19" spans="2:2" ht="13.8">
      <c r="B19" s="33"/>
    </row>
    <row r="20" spans="2:2">
      <c r="B20" s="5" t="s">
        <v>95</v>
      </c>
    </row>
    <row r="21" spans="2:2">
      <c r="B21" s="5" t="s">
        <v>97</v>
      </c>
    </row>
    <row r="22" spans="2:2">
      <c r="B22" s="5" t="s">
        <v>98</v>
      </c>
    </row>
    <row r="23" spans="2:2">
      <c r="B23" s="98" t="s">
        <v>289</v>
      </c>
    </row>
    <row r="24" spans="2:2">
      <c r="B24" s="5" t="s">
        <v>108</v>
      </c>
    </row>
    <row r="25" spans="2:2">
      <c r="B25" t="s">
        <v>109</v>
      </c>
    </row>
    <row r="28" spans="2:2" ht="13.8">
      <c r="B28" s="33" t="s">
        <v>106</v>
      </c>
    </row>
  </sheetData>
  <pageMargins left="0.7" right="0.7" top="0.75" bottom="0.75" header="0.3" footer="0.3"/>
  <pageSetup paperSize="9"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70"/>
  <sheetViews>
    <sheetView zoomScale="98" zoomScaleNormal="98" workbookViewId="0"/>
  </sheetViews>
  <sheetFormatPr defaultRowHeight="13.2"/>
  <cols>
    <col min="1" max="1" width="16.88671875" bestFit="1" customWidth="1"/>
    <col min="2" max="2" width="25.109375" customWidth="1"/>
    <col min="3" max="4" width="6.77734375" customWidth="1"/>
    <col min="5" max="5" width="12.44140625" customWidth="1"/>
    <col min="6" max="6" width="13.5546875" customWidth="1"/>
    <col min="7" max="7" width="12.44140625" customWidth="1"/>
    <col min="9" max="9" width="5" customWidth="1"/>
    <col min="10" max="10" width="5.5546875" customWidth="1"/>
    <col min="11" max="11" width="12.44140625" customWidth="1"/>
    <col min="14" max="14" width="13.21875" customWidth="1"/>
    <col min="15" max="15" width="13.5546875" customWidth="1"/>
    <col min="16" max="16" width="12.44140625" customWidth="1"/>
    <col min="20" max="20" width="15.33203125" customWidth="1"/>
    <col min="21" max="21" width="11.33203125" customWidth="1"/>
    <col min="22" max="22" width="6.88671875" customWidth="1"/>
    <col min="23" max="23" width="5.44140625" customWidth="1"/>
    <col min="24" max="24" width="13.88671875" customWidth="1"/>
    <col min="25" max="25" width="12.44140625" customWidth="1"/>
    <col min="26" max="26" width="12" customWidth="1"/>
    <col min="31" max="31" width="9.109375" bestFit="1" customWidth="1"/>
  </cols>
  <sheetData>
    <row r="1" spans="1:14" ht="21">
      <c r="B1" s="34" t="s">
        <v>119</v>
      </c>
      <c r="E1" s="90" t="s">
        <v>265</v>
      </c>
      <c r="F1" s="91">
        <v>5</v>
      </c>
    </row>
    <row r="2" spans="1:14">
      <c r="M2" s="208"/>
      <c r="N2" s="208"/>
    </row>
    <row r="3" spans="1:14">
      <c r="A3" s="21" t="s">
        <v>110</v>
      </c>
      <c r="B3" s="97" t="s">
        <v>305</v>
      </c>
      <c r="M3" s="208"/>
      <c r="N3" s="208"/>
    </row>
    <row r="4" spans="1:14">
      <c r="M4" s="208"/>
      <c r="N4" s="208"/>
    </row>
    <row r="5" spans="1:14">
      <c r="A5" s="21" t="s">
        <v>111</v>
      </c>
      <c r="B5" s="36"/>
      <c r="M5" s="208"/>
      <c r="N5" s="208"/>
    </row>
    <row r="6" spans="1:14">
      <c r="B6" s="36"/>
      <c r="M6" s="208"/>
      <c r="N6" s="208"/>
    </row>
    <row r="7" spans="1:14">
      <c r="B7" s="36"/>
    </row>
    <row r="8" spans="1:14">
      <c r="B8" s="36"/>
    </row>
    <row r="9" spans="1:14">
      <c r="B9" s="36"/>
    </row>
    <row r="10" spans="1:14">
      <c r="B10" s="36"/>
    </row>
    <row r="11" spans="1:14">
      <c r="A11" s="21" t="s">
        <v>112</v>
      </c>
    </row>
    <row r="12" spans="1:14">
      <c r="B12" s="5" t="s">
        <v>113</v>
      </c>
      <c r="C12" s="209" t="s">
        <v>300</v>
      </c>
      <c r="D12" s="210"/>
      <c r="E12" s="210"/>
      <c r="F12" s="210"/>
      <c r="G12" s="210"/>
    </row>
    <row r="13" spans="1:14">
      <c r="B13" s="5" t="s">
        <v>114</v>
      </c>
      <c r="C13" s="105" t="s">
        <v>301</v>
      </c>
    </row>
    <row r="14" spans="1:14">
      <c r="B14" s="5" t="s">
        <v>116</v>
      </c>
      <c r="C14" s="209" t="s">
        <v>302</v>
      </c>
      <c r="D14" s="210"/>
      <c r="E14" s="210"/>
    </row>
    <row r="15" spans="1:14">
      <c r="B15" s="5" t="s">
        <v>115</v>
      </c>
      <c r="C15" s="209" t="s">
        <v>303</v>
      </c>
      <c r="D15" s="210"/>
      <c r="E15" s="210"/>
      <c r="F15" s="210"/>
      <c r="G15" s="210"/>
      <c r="H15" s="210"/>
      <c r="I15" s="210"/>
      <c r="J15" s="210"/>
      <c r="K15" s="210"/>
      <c r="L15" s="210"/>
      <c r="M15" s="210"/>
      <c r="N15" s="210"/>
    </row>
    <row r="16" spans="1:14">
      <c r="B16" s="5" t="s">
        <v>123</v>
      </c>
      <c r="C16" s="211"/>
      <c r="D16" s="211"/>
      <c r="E16" s="211"/>
      <c r="F16" s="211"/>
      <c r="G16" s="211"/>
      <c r="H16" s="211"/>
      <c r="I16" s="211"/>
      <c r="J16" s="211"/>
      <c r="K16" s="211"/>
    </row>
    <row r="17" spans="1:31">
      <c r="B17" s="5"/>
      <c r="C17" s="100"/>
      <c r="D17" s="100"/>
      <c r="E17" s="100"/>
      <c r="F17" s="100"/>
      <c r="G17" s="100"/>
      <c r="H17" s="100"/>
      <c r="I17" s="100"/>
      <c r="J17" s="100"/>
      <c r="K17" s="100"/>
      <c r="O17">
        <v>1</v>
      </c>
      <c r="P17">
        <v>2</v>
      </c>
      <c r="Q17">
        <v>3</v>
      </c>
    </row>
    <row r="18" spans="1:31">
      <c r="A18" s="97" t="s">
        <v>299</v>
      </c>
      <c r="B18" s="95" t="s">
        <v>304</v>
      </c>
      <c r="C18" s="36"/>
      <c r="D18" s="36"/>
      <c r="E18" s="36"/>
      <c r="F18" s="36"/>
    </row>
    <row r="19" spans="1:31">
      <c r="A19" s="5"/>
      <c r="B19" s="99"/>
    </row>
    <row r="20" spans="1:31" ht="15.6">
      <c r="A20" s="15" t="s">
        <v>120</v>
      </c>
      <c r="B20" s="52" t="s">
        <v>159</v>
      </c>
      <c r="C20" s="35" t="s">
        <v>273</v>
      </c>
      <c r="J20" s="15" t="s">
        <v>121</v>
      </c>
      <c r="K20" s="5" t="s">
        <v>159</v>
      </c>
      <c r="L20" s="35" t="s">
        <v>273</v>
      </c>
      <c r="T20" s="15" t="s">
        <v>122</v>
      </c>
      <c r="U20" s="5" t="s">
        <v>159</v>
      </c>
      <c r="V20" s="36"/>
    </row>
    <row r="21" spans="1:31">
      <c r="B21" s="36"/>
      <c r="C21" s="36"/>
      <c r="D21" s="36"/>
      <c r="E21" s="102" t="s">
        <v>382</v>
      </c>
      <c r="F21" s="102" t="s">
        <v>383</v>
      </c>
      <c r="G21" s="102" t="s">
        <v>384</v>
      </c>
      <c r="H21" s="36"/>
      <c r="T21" s="36"/>
      <c r="U21" s="36"/>
      <c r="V21" s="36"/>
      <c r="W21" s="36"/>
      <c r="X21" s="102" t="s">
        <v>382</v>
      </c>
      <c r="Y21" s="102" t="s">
        <v>383</v>
      </c>
      <c r="Z21" s="102" t="s">
        <v>384</v>
      </c>
      <c r="AA21" s="36"/>
    </row>
    <row r="22" spans="1:31" ht="13.8" thickBot="1">
      <c r="B22" s="103" t="s">
        <v>306</v>
      </c>
      <c r="C22" s="103"/>
      <c r="D22" s="103"/>
      <c r="E22" s="103" t="s">
        <v>307</v>
      </c>
      <c r="F22" s="103" t="s">
        <v>308</v>
      </c>
      <c r="G22" s="103" t="s">
        <v>309</v>
      </c>
      <c r="H22" s="36"/>
      <c r="K22" s="36"/>
      <c r="L22" s="36"/>
      <c r="M22" s="36"/>
      <c r="N22" s="102" t="s">
        <v>382</v>
      </c>
      <c r="O22" s="102" t="s">
        <v>383</v>
      </c>
      <c r="P22" s="102" t="s">
        <v>384</v>
      </c>
      <c r="Q22" s="36"/>
      <c r="R22" s="36"/>
      <c r="T22" s="110" t="s">
        <v>306</v>
      </c>
      <c r="U22" s="104"/>
      <c r="V22" s="104"/>
      <c r="W22" s="104"/>
      <c r="X22" s="104" t="s">
        <v>307</v>
      </c>
      <c r="Y22" s="104" t="s">
        <v>308</v>
      </c>
      <c r="Z22" s="104" t="s">
        <v>309</v>
      </c>
      <c r="AA22" s="36"/>
    </row>
    <row r="23" spans="1:31" ht="13.8" thickBot="1">
      <c r="B23" s="111" t="s">
        <v>310</v>
      </c>
      <c r="C23" s="106"/>
      <c r="D23" s="106"/>
      <c r="E23" s="106"/>
      <c r="F23" s="106"/>
      <c r="G23" s="106"/>
      <c r="H23" s="36"/>
      <c r="K23" s="111" t="s">
        <v>306</v>
      </c>
      <c r="L23" s="111"/>
      <c r="M23" s="111"/>
      <c r="N23" s="111" t="s">
        <v>307</v>
      </c>
      <c r="O23" s="111" t="s">
        <v>308</v>
      </c>
      <c r="P23" s="111" t="s">
        <v>309</v>
      </c>
      <c r="Q23" s="36"/>
      <c r="R23" s="36"/>
      <c r="T23" s="106" t="s">
        <v>1</v>
      </c>
      <c r="U23" s="106"/>
      <c r="V23" s="106"/>
      <c r="W23" s="106"/>
      <c r="X23" s="115">
        <v>1399000</v>
      </c>
      <c r="Y23" s="115">
        <v>1546000</v>
      </c>
      <c r="Z23" s="115">
        <v>1332000</v>
      </c>
      <c r="AA23" s="36"/>
    </row>
    <row r="24" spans="1:31" ht="13.8" thickBot="1">
      <c r="B24" s="104" t="s">
        <v>311</v>
      </c>
      <c r="C24" s="36"/>
      <c r="D24" s="36"/>
      <c r="E24" s="122">
        <v>1130000</v>
      </c>
      <c r="F24" s="116">
        <v>1469000</v>
      </c>
      <c r="G24" s="116">
        <v>1194000</v>
      </c>
      <c r="H24" s="36"/>
      <c r="K24" s="36" t="s">
        <v>365</v>
      </c>
      <c r="L24" s="36"/>
      <c r="M24" s="36"/>
      <c r="N24" s="116">
        <v>9765000</v>
      </c>
      <c r="O24" s="116">
        <v>10423000</v>
      </c>
      <c r="P24" s="116">
        <v>10762000</v>
      </c>
      <c r="Q24" s="36"/>
      <c r="R24" s="36"/>
      <c r="T24" s="104" t="s">
        <v>344</v>
      </c>
      <c r="U24" s="36"/>
      <c r="V24" s="36"/>
      <c r="W24" s="36"/>
      <c r="X24" s="116"/>
      <c r="Y24" s="116"/>
      <c r="Z24" s="116"/>
      <c r="AA24" s="36"/>
      <c r="AC24" s="114"/>
    </row>
    <row r="25" spans="1:31" ht="13.8" thickBot="1">
      <c r="B25" s="36" t="s">
        <v>312</v>
      </c>
      <c r="C25" s="36"/>
      <c r="D25" s="36"/>
      <c r="E25" s="123">
        <v>4615000</v>
      </c>
      <c r="F25" s="116">
        <v>4814000</v>
      </c>
      <c r="G25" s="116">
        <v>3731000</v>
      </c>
      <c r="H25" s="36"/>
      <c r="K25" s="36" t="s">
        <v>366</v>
      </c>
      <c r="L25" s="36"/>
      <c r="M25" s="36"/>
      <c r="N25" s="116">
        <v>6918000</v>
      </c>
      <c r="O25" s="116">
        <v>7228000</v>
      </c>
      <c r="P25" s="116">
        <v>7572000</v>
      </c>
      <c r="Q25" s="36"/>
      <c r="R25" s="36"/>
      <c r="T25" s="107" t="s">
        <v>345</v>
      </c>
      <c r="U25" s="107"/>
      <c r="V25" s="107"/>
      <c r="W25" s="107"/>
      <c r="X25" s="117">
        <v>307000</v>
      </c>
      <c r="Y25" s="117">
        <v>346000</v>
      </c>
      <c r="Z25" s="117">
        <v>409000</v>
      </c>
      <c r="AA25" s="36"/>
    </row>
    <row r="26" spans="1:31" ht="13.8" thickBot="1">
      <c r="B26" s="36" t="s">
        <v>313</v>
      </c>
      <c r="C26" s="36"/>
      <c r="D26" s="36"/>
      <c r="E26" s="123">
        <v>2243000</v>
      </c>
      <c r="F26" s="116">
        <v>2130000</v>
      </c>
      <c r="G26" s="116">
        <v>2084000</v>
      </c>
      <c r="H26" s="36"/>
      <c r="K26" s="111" t="s">
        <v>367</v>
      </c>
      <c r="L26" s="106"/>
      <c r="M26" s="106"/>
      <c r="N26" s="121">
        <v>2847000</v>
      </c>
      <c r="O26" s="121">
        <v>3195000</v>
      </c>
      <c r="P26" s="121">
        <v>3191000</v>
      </c>
      <c r="Q26" s="36"/>
      <c r="R26" s="36"/>
      <c r="T26" s="108" t="s">
        <v>346</v>
      </c>
      <c r="U26" s="108"/>
      <c r="V26" s="108"/>
      <c r="W26" s="108"/>
      <c r="X26" s="118">
        <v>292000</v>
      </c>
      <c r="Y26" s="118">
        <v>276000</v>
      </c>
      <c r="Z26" s="118">
        <v>347000</v>
      </c>
      <c r="AA26" s="36"/>
    </row>
    <row r="27" spans="1:31" ht="13.8" thickBot="1">
      <c r="B27" s="36" t="s">
        <v>314</v>
      </c>
      <c r="C27" s="36"/>
      <c r="D27" s="36"/>
      <c r="E27" s="122">
        <v>5000</v>
      </c>
      <c r="F27" s="116">
        <v>8000</v>
      </c>
      <c r="G27" s="116">
        <v>11000</v>
      </c>
      <c r="H27" s="36"/>
      <c r="K27" s="106" t="s">
        <v>368</v>
      </c>
      <c r="L27" s="106"/>
      <c r="M27" s="106"/>
      <c r="N27" s="115"/>
      <c r="O27" s="115"/>
      <c r="P27" s="115"/>
      <c r="Q27" s="36"/>
      <c r="R27" s="36"/>
      <c r="T27" s="111" t="s">
        <v>347</v>
      </c>
      <c r="U27" s="106"/>
      <c r="V27" s="106"/>
      <c r="W27" s="106"/>
      <c r="X27" s="115"/>
      <c r="Y27" s="115"/>
      <c r="Z27" s="115"/>
      <c r="AA27" s="36"/>
    </row>
    <row r="28" spans="1:31">
      <c r="B28" s="36" t="s">
        <v>315</v>
      </c>
      <c r="C28" s="36"/>
      <c r="D28" s="36"/>
      <c r="E28" s="123">
        <v>727000</v>
      </c>
      <c r="F28" s="116">
        <v>699000</v>
      </c>
      <c r="G28" s="116">
        <v>797000</v>
      </c>
      <c r="H28" s="36"/>
      <c r="K28" s="36" t="s">
        <v>369</v>
      </c>
      <c r="L28" s="36"/>
      <c r="M28" s="36"/>
      <c r="N28" s="116" t="s">
        <v>334</v>
      </c>
      <c r="O28" s="116" t="s">
        <v>334</v>
      </c>
      <c r="P28" s="116" t="s">
        <v>334</v>
      </c>
      <c r="Q28" s="36"/>
      <c r="R28" s="36"/>
      <c r="T28" s="36" t="s">
        <v>348</v>
      </c>
      <c r="U28" s="36"/>
      <c r="V28" s="36"/>
      <c r="W28" s="36"/>
      <c r="X28" s="116">
        <v>-274000</v>
      </c>
      <c r="Y28" s="116">
        <v>6000</v>
      </c>
      <c r="Z28" s="116">
        <v>165000</v>
      </c>
      <c r="AA28" s="36"/>
    </row>
    <row r="29" spans="1:31" ht="13.8" thickBot="1">
      <c r="B29" s="104" t="s">
        <v>316</v>
      </c>
      <c r="C29" s="36"/>
      <c r="D29" s="36"/>
      <c r="E29" s="123">
        <v>8712000</v>
      </c>
      <c r="F29" s="116">
        <v>9100000</v>
      </c>
      <c r="G29" s="116">
        <v>7801000</v>
      </c>
      <c r="H29" s="36"/>
      <c r="K29" s="36" t="s">
        <v>370</v>
      </c>
      <c r="L29" s="36"/>
      <c r="M29" s="36"/>
      <c r="N29" s="116">
        <v>1272000</v>
      </c>
      <c r="O29" s="116">
        <v>1426000</v>
      </c>
      <c r="P29" s="116">
        <v>1563000</v>
      </c>
      <c r="Q29" s="36"/>
      <c r="R29" s="36"/>
      <c r="T29" s="36" t="s">
        <v>349</v>
      </c>
      <c r="U29" s="36"/>
      <c r="V29" s="36"/>
      <c r="W29" s="36"/>
      <c r="X29" s="116">
        <v>2000</v>
      </c>
      <c r="Y29" s="116">
        <v>2000</v>
      </c>
      <c r="Z29" s="116">
        <v>3000</v>
      </c>
      <c r="AA29" s="36"/>
      <c r="AE29" s="120"/>
    </row>
    <row r="30" spans="1:31" ht="13.8" thickBot="1">
      <c r="B30" s="111" t="s">
        <v>317</v>
      </c>
      <c r="C30" s="106"/>
      <c r="D30" s="106"/>
      <c r="E30" s="124"/>
      <c r="F30" s="125"/>
      <c r="G30" s="115"/>
      <c r="H30" s="36"/>
      <c r="K30" s="36" t="s">
        <v>371</v>
      </c>
      <c r="L30" s="36"/>
      <c r="M30" s="36"/>
      <c r="N30" s="116" t="s">
        <v>334</v>
      </c>
      <c r="O30" s="116" t="s">
        <v>334</v>
      </c>
      <c r="P30" s="116" t="s">
        <v>334</v>
      </c>
      <c r="Q30" s="36"/>
      <c r="R30" s="36"/>
      <c r="T30" s="36" t="s">
        <v>350</v>
      </c>
      <c r="U30" s="36"/>
      <c r="V30" s="36"/>
      <c r="W30" s="36"/>
      <c r="X30" s="116">
        <v>-2000</v>
      </c>
      <c r="Y30" s="116">
        <v>78000</v>
      </c>
      <c r="Z30" s="116">
        <v>107000</v>
      </c>
      <c r="AA30" s="36"/>
    </row>
    <row r="31" spans="1:31" ht="13.8" thickBot="1">
      <c r="B31" s="36" t="s">
        <v>318</v>
      </c>
      <c r="C31" s="36"/>
      <c r="D31" s="36"/>
      <c r="E31" s="126">
        <v>400000</v>
      </c>
      <c r="F31" s="126">
        <v>328000</v>
      </c>
      <c r="G31" s="116">
        <v>320000</v>
      </c>
      <c r="H31" s="36"/>
      <c r="K31" s="36" t="s">
        <v>372</v>
      </c>
      <c r="L31" s="36"/>
      <c r="M31" s="36"/>
      <c r="N31" s="116" t="s">
        <v>334</v>
      </c>
      <c r="O31" s="116" t="s">
        <v>334</v>
      </c>
      <c r="P31" s="116" t="s">
        <v>334</v>
      </c>
      <c r="Q31" s="36"/>
      <c r="R31" s="36"/>
      <c r="T31" s="36" t="s">
        <v>351</v>
      </c>
      <c r="U31" s="36"/>
      <c r="V31" s="36"/>
      <c r="W31" s="36"/>
      <c r="X31" s="116">
        <v>-150000</v>
      </c>
      <c r="Y31" s="116">
        <v>-272000</v>
      </c>
      <c r="Z31" s="116">
        <v>-250000</v>
      </c>
      <c r="AA31" s="36"/>
    </row>
    <row r="32" spans="1:31" ht="13.8" thickBot="1">
      <c r="B32" s="36" t="s">
        <v>319</v>
      </c>
      <c r="C32" s="36"/>
      <c r="D32" s="36"/>
      <c r="E32" s="126">
        <v>1160000</v>
      </c>
      <c r="F32" s="126">
        <v>1243000</v>
      </c>
      <c r="G32" s="116">
        <v>1193000</v>
      </c>
      <c r="H32" s="36"/>
      <c r="K32" s="111" t="s">
        <v>373</v>
      </c>
      <c r="L32" s="111"/>
      <c r="M32" s="111"/>
      <c r="N32" s="121">
        <v>1575000</v>
      </c>
      <c r="O32" s="121">
        <v>1769000</v>
      </c>
      <c r="P32" s="121">
        <v>1628000</v>
      </c>
      <c r="Q32" s="36"/>
      <c r="R32" s="36"/>
      <c r="T32" s="36" t="s">
        <v>352</v>
      </c>
      <c r="U32" s="36"/>
      <c r="V32" s="36"/>
      <c r="W32" s="36"/>
      <c r="X32" s="116">
        <v>1574000</v>
      </c>
      <c r="Y32" s="116">
        <v>1982000</v>
      </c>
      <c r="Z32" s="116">
        <v>2113000</v>
      </c>
      <c r="AA32" s="36"/>
    </row>
    <row r="33" spans="2:27" ht="13.8" thickBot="1">
      <c r="B33" s="36" t="s">
        <v>320</v>
      </c>
      <c r="C33" s="36"/>
      <c r="D33" s="36"/>
      <c r="E33" s="116">
        <v>4084000</v>
      </c>
      <c r="F33" s="116">
        <v>3803000</v>
      </c>
      <c r="G33" s="116">
        <v>3789000</v>
      </c>
      <c r="H33" s="36"/>
      <c r="K33" s="36" t="s">
        <v>374</v>
      </c>
      <c r="L33" s="36"/>
      <c r="M33" s="36"/>
      <c r="N33" s="116">
        <v>405000</v>
      </c>
      <c r="O33" s="116">
        <v>447000</v>
      </c>
      <c r="P33" s="116">
        <v>291000</v>
      </c>
      <c r="Q33" s="36"/>
      <c r="R33" s="36"/>
      <c r="T33" s="111" t="s">
        <v>353</v>
      </c>
      <c r="U33" s="106"/>
      <c r="V33" s="106"/>
      <c r="W33" s="106"/>
      <c r="X33" s="115"/>
      <c r="Y33" s="115"/>
      <c r="Z33" s="115"/>
      <c r="AA33" s="36"/>
    </row>
    <row r="34" spans="2:27">
      <c r="B34" s="36" t="s">
        <v>321</v>
      </c>
      <c r="C34" s="36"/>
      <c r="D34" s="36"/>
      <c r="E34" s="116">
        <v>308000</v>
      </c>
      <c r="F34" s="116">
        <v>321000</v>
      </c>
      <c r="G34" s="116">
        <v>393000</v>
      </c>
      <c r="H34" s="36"/>
      <c r="K34" s="36" t="s">
        <v>375</v>
      </c>
      <c r="L34" s="36"/>
      <c r="M34" s="36"/>
      <c r="N34" s="116">
        <v>1982000</v>
      </c>
      <c r="O34" s="116">
        <v>2220000</v>
      </c>
      <c r="P34" s="116">
        <v>1915000</v>
      </c>
      <c r="Q34" s="36"/>
      <c r="R34" s="36"/>
      <c r="T34" s="36" t="s">
        <v>354</v>
      </c>
      <c r="U34" s="36"/>
      <c r="V34" s="36"/>
      <c r="W34" s="36"/>
      <c r="X34" s="116">
        <v>-165000</v>
      </c>
      <c r="Y34" s="116">
        <v>-172000</v>
      </c>
      <c r="Z34" s="116">
        <v>-126000</v>
      </c>
      <c r="AA34" s="36"/>
    </row>
    <row r="35" spans="2:27">
      <c r="B35" s="36" t="s">
        <v>322</v>
      </c>
      <c r="C35" s="36"/>
      <c r="D35" s="36"/>
      <c r="E35" s="116">
        <v>243000</v>
      </c>
      <c r="F35" s="116">
        <v>226000</v>
      </c>
      <c r="G35" s="116">
        <v>299000</v>
      </c>
      <c r="H35" s="36"/>
      <c r="K35" s="36" t="s">
        <v>376</v>
      </c>
      <c r="L35" s="36"/>
      <c r="M35" s="36"/>
      <c r="N35" s="116">
        <v>154000</v>
      </c>
      <c r="O35" s="116">
        <v>173000</v>
      </c>
      <c r="P35" s="116">
        <v>150000</v>
      </c>
      <c r="Q35" s="36"/>
      <c r="R35" s="36"/>
      <c r="T35" s="36" t="s">
        <v>355</v>
      </c>
      <c r="U35" s="36"/>
      <c r="V35" s="36"/>
      <c r="W35" s="36"/>
      <c r="X35" s="116">
        <v>78000</v>
      </c>
      <c r="Y35" s="116">
        <v>-778000</v>
      </c>
      <c r="Z35" s="116">
        <v>278000</v>
      </c>
      <c r="AA35" s="36"/>
    </row>
    <row r="36" spans="2:27">
      <c r="B36" s="36" t="s">
        <v>323</v>
      </c>
      <c r="C36" s="36"/>
      <c r="D36" s="36"/>
      <c r="E36" s="116">
        <v>55000</v>
      </c>
      <c r="F36" s="116">
        <v>30000</v>
      </c>
      <c r="G36" s="116">
        <v>22000</v>
      </c>
      <c r="H36" s="36"/>
      <c r="K36" s="36" t="s">
        <v>377</v>
      </c>
      <c r="L36" s="36"/>
      <c r="M36" s="36"/>
      <c r="N36" s="116">
        <v>1828000</v>
      </c>
      <c r="O36" s="116">
        <v>2047000</v>
      </c>
      <c r="P36" s="116">
        <v>1765000</v>
      </c>
      <c r="Q36" s="36"/>
      <c r="R36" s="36"/>
      <c r="T36" s="36" t="s">
        <v>356</v>
      </c>
      <c r="U36" s="36"/>
      <c r="V36" s="36"/>
      <c r="W36" s="36"/>
      <c r="X36" s="116">
        <v>-266000</v>
      </c>
      <c r="Y36" s="116">
        <v>6000</v>
      </c>
      <c r="Z36" s="116">
        <v>-11000</v>
      </c>
      <c r="AA36" s="36"/>
    </row>
    <row r="37" spans="2:27" ht="13.8" thickBot="1">
      <c r="B37" s="104" t="s">
        <v>324</v>
      </c>
      <c r="C37" s="36"/>
      <c r="D37" s="36"/>
      <c r="E37" s="116">
        <v>14963000</v>
      </c>
      <c r="F37" s="116">
        <v>15052000</v>
      </c>
      <c r="G37" s="116">
        <v>13818000</v>
      </c>
      <c r="H37" s="36"/>
      <c r="K37" s="36" t="s">
        <v>378</v>
      </c>
      <c r="L37" s="36"/>
      <c r="M37" s="36"/>
      <c r="N37" s="116">
        <v>430000</v>
      </c>
      <c r="O37" s="116">
        <v>500000</v>
      </c>
      <c r="P37" s="116">
        <v>433000</v>
      </c>
      <c r="Q37" s="36"/>
      <c r="R37" s="36"/>
      <c r="T37" s="36" t="s">
        <v>357</v>
      </c>
      <c r="U37" s="36"/>
      <c r="V37" s="36"/>
      <c r="W37" s="36"/>
      <c r="X37" s="116">
        <v>-352000</v>
      </c>
      <c r="Y37" s="116">
        <v>-945000</v>
      </c>
      <c r="Z37" s="116">
        <v>140000</v>
      </c>
      <c r="AA37" s="36"/>
    </row>
    <row r="38" spans="2:27" ht="13.8" thickBot="1">
      <c r="B38" s="111" t="s">
        <v>325</v>
      </c>
      <c r="C38" s="106"/>
      <c r="D38" s="106"/>
      <c r="E38" s="115"/>
      <c r="F38" s="115"/>
      <c r="G38" s="115"/>
      <c r="H38" s="36"/>
      <c r="K38" s="36" t="s">
        <v>333</v>
      </c>
      <c r="L38" s="36"/>
      <c r="M38" s="36"/>
      <c r="N38" s="116">
        <v>3000</v>
      </c>
      <c r="O38" s="116">
        <v>3000</v>
      </c>
      <c r="P38" s="116">
        <v>-3000</v>
      </c>
      <c r="Q38" s="36"/>
      <c r="R38" s="36"/>
      <c r="T38" s="112" t="s">
        <v>358</v>
      </c>
      <c r="U38" s="113"/>
      <c r="V38" s="113"/>
      <c r="W38" s="113"/>
      <c r="X38" s="119"/>
      <c r="Y38" s="119"/>
      <c r="Z38" s="119"/>
      <c r="AA38" s="36"/>
    </row>
    <row r="39" spans="2:27">
      <c r="B39" s="36" t="s">
        <v>326</v>
      </c>
      <c r="C39" s="36"/>
      <c r="D39" s="36"/>
      <c r="E39" s="116">
        <v>1524000</v>
      </c>
      <c r="F39" s="116">
        <v>1436000</v>
      </c>
      <c r="G39" s="116">
        <v>1323000</v>
      </c>
      <c r="H39" s="36"/>
      <c r="K39" s="36" t="s">
        <v>379</v>
      </c>
      <c r="L39" s="36"/>
      <c r="M39" s="36"/>
      <c r="N39" s="116" t="s">
        <v>334</v>
      </c>
      <c r="O39" s="116" t="s">
        <v>334</v>
      </c>
      <c r="P39" s="116" t="s">
        <v>334</v>
      </c>
      <c r="Q39" s="36"/>
      <c r="R39" s="36"/>
      <c r="T39" s="36" t="s">
        <v>359</v>
      </c>
      <c r="U39" s="36"/>
      <c r="V39" s="36"/>
      <c r="W39" s="36"/>
      <c r="X39" s="134" t="s">
        <v>334</v>
      </c>
      <c r="Y39" s="134" t="s">
        <v>334</v>
      </c>
      <c r="Z39" s="116">
        <v>-1740000</v>
      </c>
      <c r="AA39" s="36"/>
    </row>
    <row r="40" spans="2:27" ht="13.8" thickBot="1">
      <c r="B40" s="36" t="s">
        <v>327</v>
      </c>
      <c r="C40" s="36"/>
      <c r="D40" s="36"/>
      <c r="E40" s="116">
        <v>1865000</v>
      </c>
      <c r="F40" s="116">
        <v>1156000</v>
      </c>
      <c r="G40" s="116">
        <v>956000</v>
      </c>
      <c r="H40" s="36"/>
      <c r="K40" s="36" t="s">
        <v>380</v>
      </c>
      <c r="L40" s="36"/>
      <c r="M40" s="36"/>
      <c r="N40" s="116">
        <v>1401000</v>
      </c>
      <c r="O40" s="116">
        <v>1549000</v>
      </c>
      <c r="P40" s="116">
        <v>1330000</v>
      </c>
      <c r="Q40" s="36"/>
      <c r="R40" s="36"/>
      <c r="T40" s="36" t="s">
        <v>360</v>
      </c>
      <c r="U40" s="36"/>
      <c r="V40" s="36"/>
      <c r="W40" s="36"/>
      <c r="X40" s="116">
        <v>-71000</v>
      </c>
      <c r="Y40" s="116">
        <v>210000</v>
      </c>
      <c r="Z40" s="116">
        <v>-121000</v>
      </c>
      <c r="AA40" s="36"/>
    </row>
    <row r="41" spans="2:27" ht="13.8" thickBot="1">
      <c r="B41" s="36" t="s">
        <v>328</v>
      </c>
      <c r="C41" s="36"/>
      <c r="D41" s="36"/>
      <c r="E41" s="116">
        <v>862000</v>
      </c>
      <c r="F41" s="116">
        <v>757000</v>
      </c>
      <c r="G41" s="116">
        <v>748000</v>
      </c>
      <c r="H41" s="36"/>
      <c r="K41" s="111" t="s">
        <v>1</v>
      </c>
      <c r="L41" s="111"/>
      <c r="M41" s="111"/>
      <c r="N41" s="121">
        <v>1399000</v>
      </c>
      <c r="O41" s="121">
        <v>1546000</v>
      </c>
      <c r="P41" s="121">
        <v>1332000</v>
      </c>
      <c r="Q41" s="36"/>
      <c r="R41" s="36"/>
      <c r="T41" s="36" t="s">
        <v>361</v>
      </c>
      <c r="U41" s="36"/>
      <c r="V41" s="36"/>
      <c r="W41" s="36"/>
      <c r="X41" s="116">
        <v>-198000</v>
      </c>
      <c r="Y41" s="116">
        <v>-224000</v>
      </c>
      <c r="Z41" s="116">
        <v>-262000</v>
      </c>
      <c r="AA41" s="36"/>
    </row>
    <row r="42" spans="2:27" ht="13.8" thickBot="1">
      <c r="B42" s="36" t="s">
        <v>329</v>
      </c>
      <c r="C42" s="36"/>
      <c r="D42" s="36"/>
      <c r="E42" s="116">
        <v>4251000</v>
      </c>
      <c r="F42" s="116">
        <v>3349000</v>
      </c>
      <c r="G42" s="116">
        <v>3027000</v>
      </c>
      <c r="H42" s="36"/>
      <c r="K42" s="111" t="s">
        <v>381</v>
      </c>
      <c r="L42" s="111"/>
      <c r="M42" s="111"/>
      <c r="N42" s="121">
        <v>1399000</v>
      </c>
      <c r="O42" s="121">
        <v>1546000</v>
      </c>
      <c r="P42" s="121">
        <v>1332000</v>
      </c>
      <c r="Q42" s="36"/>
      <c r="R42" s="36"/>
      <c r="T42" s="36" t="s">
        <v>362</v>
      </c>
      <c r="U42" s="36"/>
      <c r="V42" s="36"/>
      <c r="W42" s="36"/>
      <c r="X42" s="116">
        <v>-1489000</v>
      </c>
      <c r="Y42" s="116">
        <v>-748000</v>
      </c>
      <c r="Z42" s="116">
        <v>-2189000</v>
      </c>
      <c r="AA42" s="36"/>
    </row>
    <row r="43" spans="2:27">
      <c r="B43" s="36" t="s">
        <v>330</v>
      </c>
      <c r="C43" s="36"/>
      <c r="D43" s="36"/>
      <c r="E43" s="116">
        <v>21000</v>
      </c>
      <c r="F43" s="116">
        <v>748000</v>
      </c>
      <c r="G43" s="116">
        <v>747000</v>
      </c>
      <c r="H43" s="36"/>
      <c r="K43" s="36"/>
      <c r="L43" s="36"/>
      <c r="M43" s="36"/>
      <c r="N43" s="36"/>
      <c r="O43" s="36"/>
      <c r="P43" s="36"/>
      <c r="Q43" s="36"/>
      <c r="R43" s="36"/>
      <c r="T43" s="36" t="s">
        <v>363</v>
      </c>
      <c r="U43" s="36"/>
      <c r="V43" s="36"/>
      <c r="W43" s="36"/>
      <c r="X43" s="116">
        <v>94000</v>
      </c>
      <c r="Y43" s="116">
        <v>3000</v>
      </c>
      <c r="Z43" s="116">
        <v>-3000</v>
      </c>
      <c r="AA43" s="36"/>
    </row>
    <row r="44" spans="2:27" ht="13.8" thickBot="1">
      <c r="B44" s="36" t="s">
        <v>180</v>
      </c>
      <c r="C44" s="36"/>
      <c r="D44" s="36"/>
      <c r="E44" s="116">
        <v>1148000</v>
      </c>
      <c r="F44" s="116">
        <v>1047000</v>
      </c>
      <c r="G44" s="116">
        <v>828000</v>
      </c>
      <c r="H44" s="36"/>
      <c r="K44" s="36"/>
      <c r="L44" s="36"/>
      <c r="M44" s="36"/>
      <c r="N44" s="36"/>
      <c r="O44" s="36"/>
      <c r="P44" s="36"/>
      <c r="Q44" s="36"/>
      <c r="R44" s="36"/>
      <c r="T44" s="108" t="s">
        <v>364</v>
      </c>
      <c r="U44" s="108"/>
      <c r="V44" s="108"/>
      <c r="W44" s="108"/>
      <c r="X44" s="118">
        <v>-267000</v>
      </c>
      <c r="Y44" s="118">
        <v>289000</v>
      </c>
      <c r="Z44" s="118">
        <v>64000</v>
      </c>
      <c r="AA44" s="36"/>
    </row>
    <row r="45" spans="2:27">
      <c r="B45" s="36" t="s">
        <v>331</v>
      </c>
      <c r="C45" s="36"/>
      <c r="D45" s="36"/>
      <c r="E45" s="116">
        <v>182000</v>
      </c>
      <c r="F45" s="116">
        <v>192000</v>
      </c>
      <c r="G45" s="116">
        <v>209000</v>
      </c>
      <c r="H45" s="36"/>
      <c r="K45" s="36"/>
      <c r="L45" s="36"/>
      <c r="M45" s="36"/>
      <c r="N45" s="36"/>
      <c r="O45" s="36"/>
      <c r="P45" s="36"/>
      <c r="Q45" s="36"/>
      <c r="R45" s="36"/>
      <c r="T45" s="36"/>
      <c r="U45" s="36"/>
      <c r="V45" s="36"/>
      <c r="W45" s="36"/>
      <c r="X45" s="36"/>
      <c r="Y45" s="36"/>
      <c r="Z45" s="36"/>
      <c r="AA45" s="36"/>
    </row>
    <row r="46" spans="2:27">
      <c r="B46" s="36" t="s">
        <v>332</v>
      </c>
      <c r="C46" s="36"/>
      <c r="D46" s="36"/>
      <c r="E46" s="116">
        <v>26000</v>
      </c>
      <c r="F46" s="116">
        <v>25000</v>
      </c>
      <c r="G46" s="116">
        <v>16000</v>
      </c>
      <c r="H46" s="36"/>
      <c r="K46" s="36"/>
      <c r="L46" s="36"/>
      <c r="M46" s="36"/>
      <c r="N46" s="36"/>
      <c r="O46" s="36"/>
      <c r="P46" s="36"/>
      <c r="Q46" s="36"/>
      <c r="R46" s="36"/>
      <c r="T46" s="36"/>
      <c r="U46" s="36"/>
      <c r="V46" s="36"/>
      <c r="W46" s="36"/>
      <c r="X46" s="36"/>
      <c r="Y46" s="36"/>
      <c r="Z46" s="36"/>
      <c r="AA46" s="36"/>
    </row>
    <row r="47" spans="2:27">
      <c r="B47" s="36" t="s">
        <v>333</v>
      </c>
      <c r="C47" s="36"/>
      <c r="D47" s="36"/>
      <c r="E47" s="116" t="s">
        <v>334</v>
      </c>
      <c r="F47" s="116" t="s">
        <v>334</v>
      </c>
      <c r="G47" s="116" t="s">
        <v>334</v>
      </c>
      <c r="H47" s="36"/>
      <c r="K47" s="36"/>
      <c r="L47" s="36"/>
      <c r="M47" s="36"/>
      <c r="N47" s="36"/>
      <c r="O47" s="36"/>
      <c r="P47" s="36"/>
      <c r="Q47" s="36"/>
      <c r="R47" s="36"/>
      <c r="T47" s="36"/>
      <c r="U47" s="36"/>
      <c r="V47" s="36"/>
      <c r="W47" s="36"/>
      <c r="X47" s="36"/>
      <c r="Y47" s="36"/>
      <c r="Z47" s="36"/>
      <c r="AA47" s="36"/>
    </row>
    <row r="48" spans="2:27" ht="13.8" thickBot="1">
      <c r="B48" s="104" t="s">
        <v>335</v>
      </c>
      <c r="C48" s="36"/>
      <c r="D48" s="36"/>
      <c r="E48" s="116">
        <v>5628000</v>
      </c>
      <c r="F48" s="116">
        <v>5361000</v>
      </c>
      <c r="G48" s="116">
        <v>4827000</v>
      </c>
      <c r="H48" s="36"/>
      <c r="K48" s="36"/>
      <c r="L48" s="36"/>
      <c r="M48" s="36"/>
      <c r="N48" s="36"/>
      <c r="O48" s="36"/>
      <c r="P48" s="36"/>
      <c r="Q48" s="36"/>
      <c r="R48" s="36"/>
      <c r="T48" s="36"/>
      <c r="U48" s="36"/>
      <c r="V48" s="36"/>
      <c r="W48" s="36"/>
      <c r="X48" s="36"/>
      <c r="Y48" s="36"/>
      <c r="Z48" s="36"/>
      <c r="AA48" s="36"/>
    </row>
    <row r="49" spans="2:27" ht="13.8" thickBot="1">
      <c r="B49" s="111" t="s">
        <v>336</v>
      </c>
      <c r="C49" s="106"/>
      <c r="D49" s="106"/>
      <c r="E49" s="115"/>
      <c r="F49" s="115"/>
      <c r="G49" s="115"/>
      <c r="H49" s="36"/>
      <c r="K49" s="36"/>
      <c r="L49" s="36"/>
      <c r="M49" s="36"/>
      <c r="N49" s="116"/>
      <c r="O49" s="36"/>
      <c r="P49" s="36"/>
      <c r="Q49" s="36"/>
      <c r="R49" s="36"/>
      <c r="T49" s="36"/>
      <c r="U49" s="36"/>
      <c r="V49" s="36"/>
      <c r="W49" s="36"/>
      <c r="X49" s="36"/>
      <c r="Y49" s="36"/>
      <c r="Z49" s="36"/>
      <c r="AA49" s="36"/>
    </row>
    <row r="50" spans="2:27">
      <c r="B50" s="107" t="s">
        <v>337</v>
      </c>
      <c r="C50" s="107"/>
      <c r="D50" s="107"/>
      <c r="E50" s="117">
        <v>221000</v>
      </c>
      <c r="F50" s="117">
        <v>245000</v>
      </c>
      <c r="G50" s="117">
        <v>125000</v>
      </c>
      <c r="H50" s="36"/>
      <c r="K50" s="36"/>
      <c r="L50" s="36"/>
      <c r="M50" s="36"/>
      <c r="N50" s="36"/>
      <c r="O50" s="36"/>
      <c r="P50" s="36"/>
      <c r="Q50" s="36"/>
      <c r="R50" s="36"/>
      <c r="T50" s="36"/>
      <c r="U50" s="36"/>
      <c r="V50" s="36"/>
      <c r="W50" s="36"/>
      <c r="X50" s="36"/>
      <c r="Y50" s="36"/>
      <c r="Z50" s="36"/>
      <c r="AA50" s="36"/>
    </row>
    <row r="51" spans="2:27">
      <c r="B51" s="36" t="s">
        <v>338</v>
      </c>
      <c r="C51" s="36"/>
      <c r="D51" s="36"/>
      <c r="E51" s="116">
        <v>7750000</v>
      </c>
      <c r="F51" s="116">
        <v>8383000</v>
      </c>
      <c r="G51" s="116">
        <v>7565000</v>
      </c>
      <c r="H51" s="36"/>
      <c r="K51" s="36"/>
      <c r="L51" s="36"/>
      <c r="M51" s="36"/>
      <c r="N51" s="36"/>
      <c r="O51" s="36"/>
      <c r="P51" s="36"/>
      <c r="Q51" s="36"/>
      <c r="R51" s="36"/>
      <c r="T51" s="36"/>
      <c r="U51" s="36"/>
      <c r="V51" s="36"/>
      <c r="W51" s="36"/>
      <c r="X51" s="36"/>
      <c r="Y51" s="36"/>
      <c r="Z51" s="36"/>
      <c r="AA51" s="36"/>
    </row>
    <row r="52" spans="2:27">
      <c r="B52" s="36" t="s">
        <v>339</v>
      </c>
      <c r="C52" s="36"/>
      <c r="D52" s="36"/>
      <c r="E52" s="116" t="s">
        <v>334</v>
      </c>
      <c r="F52" s="116" t="s">
        <v>334</v>
      </c>
      <c r="G52" s="116" t="s">
        <v>334</v>
      </c>
      <c r="H52" s="36"/>
      <c r="K52" s="36"/>
      <c r="L52" s="36"/>
      <c r="M52" s="36"/>
      <c r="N52" s="36"/>
      <c r="O52" s="36"/>
      <c r="P52" s="36"/>
      <c r="Q52" s="36"/>
      <c r="R52" s="36"/>
      <c r="T52" s="36"/>
      <c r="U52" s="36"/>
      <c r="V52" s="36"/>
      <c r="W52" s="36"/>
      <c r="X52" s="36"/>
      <c r="Y52" s="36"/>
      <c r="Z52" s="36"/>
      <c r="AA52" s="36"/>
    </row>
    <row r="53" spans="2:27">
      <c r="B53" s="36" t="s">
        <v>340</v>
      </c>
      <c r="C53" s="36"/>
      <c r="D53" s="36"/>
      <c r="E53" s="116">
        <v>65000</v>
      </c>
      <c r="F53" s="116">
        <v>31000</v>
      </c>
      <c r="G53" s="116">
        <v>39000</v>
      </c>
      <c r="H53" s="36"/>
      <c r="K53" s="36"/>
      <c r="L53" s="36"/>
      <c r="M53" s="36"/>
      <c r="N53" s="36"/>
      <c r="O53" s="36"/>
      <c r="P53" s="36"/>
      <c r="Q53" s="36"/>
      <c r="R53" s="36"/>
      <c r="T53" s="36"/>
      <c r="U53" s="36"/>
      <c r="V53" s="36"/>
      <c r="W53" s="36"/>
      <c r="X53" s="36"/>
      <c r="Y53" s="36"/>
      <c r="Z53" s="36"/>
      <c r="AA53" s="36"/>
    </row>
    <row r="54" spans="2:27">
      <c r="B54" s="36" t="s">
        <v>341</v>
      </c>
      <c r="C54" s="36"/>
      <c r="D54" s="36"/>
      <c r="E54" s="116">
        <v>1299000</v>
      </c>
      <c r="F54" s="116">
        <v>1033000</v>
      </c>
      <c r="G54" s="116">
        <v>1261000</v>
      </c>
      <c r="H54" s="36"/>
      <c r="K54" s="36"/>
      <c r="L54" s="36"/>
      <c r="M54" s="36"/>
      <c r="N54" s="36"/>
      <c r="O54" s="36"/>
      <c r="P54" s="36"/>
      <c r="Q54" s="36"/>
      <c r="R54" s="36"/>
      <c r="T54" s="36"/>
      <c r="U54" s="36"/>
      <c r="V54" s="36"/>
      <c r="W54" s="36"/>
      <c r="X54" s="36"/>
      <c r="Y54" s="36"/>
      <c r="Z54" s="36"/>
      <c r="AA54" s="36"/>
    </row>
    <row r="55" spans="2:27">
      <c r="B55" s="36" t="s">
        <v>22</v>
      </c>
      <c r="C55" s="36"/>
      <c r="D55" s="36"/>
      <c r="E55" s="116">
        <v>9335000</v>
      </c>
      <c r="F55" s="116">
        <v>9691000</v>
      </c>
      <c r="G55" s="116">
        <v>8991000</v>
      </c>
      <c r="H55" s="36"/>
      <c r="K55" s="36"/>
      <c r="L55" s="36"/>
      <c r="M55" s="36"/>
      <c r="N55" s="36"/>
      <c r="O55" s="36"/>
      <c r="P55" s="36"/>
      <c r="Q55" s="36"/>
      <c r="R55" s="36"/>
      <c r="T55" s="36"/>
      <c r="U55" s="36"/>
      <c r="V55" s="36"/>
      <c r="W55" s="36"/>
      <c r="X55" s="36"/>
      <c r="Y55" s="36"/>
      <c r="Z55" s="36"/>
      <c r="AA55" s="36"/>
    </row>
    <row r="56" spans="2:27" ht="13.8" thickBot="1">
      <c r="B56" s="132" t="s">
        <v>342</v>
      </c>
      <c r="C56" s="108"/>
      <c r="D56" s="108"/>
      <c r="E56" s="118">
        <v>14963000</v>
      </c>
      <c r="F56" s="118">
        <v>15052000</v>
      </c>
      <c r="G56" s="133">
        <v>13818000</v>
      </c>
      <c r="H56" s="36"/>
      <c r="K56" s="36"/>
      <c r="L56" s="36"/>
      <c r="M56" s="36"/>
      <c r="N56" s="36"/>
      <c r="O56" s="36"/>
      <c r="P56" s="36"/>
      <c r="Q56" s="36"/>
      <c r="R56" s="36"/>
      <c r="T56" s="36"/>
      <c r="U56" s="36"/>
      <c r="V56" s="36"/>
      <c r="W56" s="36"/>
      <c r="X56" s="36"/>
      <c r="Y56" s="36"/>
      <c r="Z56" s="36"/>
      <c r="AA56" s="36"/>
    </row>
    <row r="57" spans="2:27">
      <c r="B57" s="36"/>
      <c r="C57" s="36"/>
      <c r="D57" s="36"/>
      <c r="E57" s="36"/>
      <c r="F57" s="36"/>
      <c r="G57" s="36"/>
      <c r="H57" s="36"/>
      <c r="K57" s="36"/>
      <c r="L57" s="36"/>
      <c r="M57" s="36"/>
      <c r="N57" s="36"/>
      <c r="O57" s="36"/>
      <c r="P57" s="36"/>
      <c r="Q57" s="36"/>
      <c r="R57" s="36"/>
      <c r="T57" s="36"/>
      <c r="U57" s="36"/>
      <c r="V57" s="36"/>
      <c r="W57" s="36"/>
      <c r="X57" s="36"/>
      <c r="Y57" s="36"/>
      <c r="Z57" s="36"/>
      <c r="AA57" s="36"/>
    </row>
    <row r="58" spans="2:27">
      <c r="B58" s="36"/>
      <c r="C58" s="36"/>
      <c r="D58" s="36"/>
      <c r="E58" s="36"/>
      <c r="F58" s="36"/>
      <c r="G58" s="36"/>
      <c r="H58" s="36"/>
      <c r="K58" s="36"/>
      <c r="L58" s="36"/>
      <c r="M58" s="36"/>
      <c r="N58" s="36"/>
      <c r="O58" s="36"/>
      <c r="P58" s="36"/>
      <c r="Q58" s="36"/>
      <c r="R58" s="36"/>
      <c r="T58" s="36"/>
      <c r="U58" s="36"/>
      <c r="V58" s="36"/>
      <c r="W58" s="36"/>
      <c r="X58" s="36"/>
      <c r="Y58" s="36"/>
      <c r="Z58" s="36"/>
      <c r="AA58" s="36"/>
    </row>
    <row r="61" spans="2:27">
      <c r="B61" s="109" t="s">
        <v>343</v>
      </c>
      <c r="C61" s="109"/>
      <c r="D61" s="109"/>
      <c r="H61" s="109"/>
      <c r="K61" s="109" t="s">
        <v>343</v>
      </c>
      <c r="T61" s="109" t="s">
        <v>343</v>
      </c>
    </row>
    <row r="70" spans="5:5">
      <c r="E70" s="120"/>
    </row>
  </sheetData>
  <mergeCells count="5">
    <mergeCell ref="M2:N6"/>
    <mergeCell ref="C12:G12"/>
    <mergeCell ref="C14:E14"/>
    <mergeCell ref="C15:N15"/>
    <mergeCell ref="C16:K16"/>
  </mergeCells>
  <phoneticPr fontId="0" type="noConversion"/>
  <hyperlinks>
    <hyperlink ref="B18" r:id="rId1" xr:uid="{FB741B9E-665C-4D80-8B1A-91D12DCB03C2}"/>
  </hyperlinks>
  <pageMargins left="0.75" right="0.75" top="1" bottom="1" header="0.5" footer="0.5"/>
  <pageSetup paperSize="9" orientation="portrait" horizontalDpi="4294967295" verticalDpi="4294967295" r:id="rId2"/>
  <headerFooter alignWithMargins="0"/>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6"/>
  <sheetViews>
    <sheetView workbookViewId="0"/>
  </sheetViews>
  <sheetFormatPr defaultRowHeight="13.2"/>
  <cols>
    <col min="1" max="1" width="41.33203125" bestFit="1" customWidth="1"/>
    <col min="2" max="2" width="15.33203125" customWidth="1"/>
  </cols>
  <sheetData>
    <row r="1" spans="1:9" ht="21">
      <c r="C1" s="34" t="s">
        <v>124</v>
      </c>
    </row>
    <row r="2" spans="1:9" ht="14.4">
      <c r="A2" s="85" t="s">
        <v>225</v>
      </c>
    </row>
    <row r="3" spans="1:9" ht="15.6">
      <c r="A3" s="1"/>
      <c r="B3" s="16" t="s">
        <v>133</v>
      </c>
      <c r="C3" s="16" t="s">
        <v>49</v>
      </c>
      <c r="D3" s="16" t="s">
        <v>50</v>
      </c>
      <c r="E3" s="16" t="s">
        <v>51</v>
      </c>
      <c r="F3" s="16" t="s">
        <v>52</v>
      </c>
      <c r="G3" s="16" t="s">
        <v>53</v>
      </c>
      <c r="H3" s="16" t="s">
        <v>54</v>
      </c>
      <c r="I3" s="16" t="s">
        <v>55</v>
      </c>
    </row>
    <row r="4" spans="1:9" ht="15.6">
      <c r="A4" s="6" t="s">
        <v>7</v>
      </c>
      <c r="B4" s="6"/>
      <c r="C4" s="7"/>
      <c r="D4" s="7"/>
      <c r="E4" s="7"/>
      <c r="F4" s="7"/>
      <c r="G4" s="7"/>
      <c r="H4" s="7"/>
      <c r="I4" s="7"/>
    </row>
    <row r="5" spans="1:9" ht="15.6">
      <c r="A5" s="1" t="s">
        <v>3</v>
      </c>
      <c r="B5" s="1"/>
      <c r="C5" s="8"/>
      <c r="D5" s="8"/>
      <c r="E5" s="8"/>
      <c r="F5" s="8"/>
      <c r="G5" s="8"/>
      <c r="H5" s="8"/>
      <c r="I5" s="8"/>
    </row>
    <row r="6" spans="1:9">
      <c r="A6" s="5" t="s">
        <v>129</v>
      </c>
      <c r="B6" s="5"/>
      <c r="C6" s="37">
        <v>0.25</v>
      </c>
      <c r="D6" s="37">
        <v>0.2</v>
      </c>
      <c r="E6" s="37">
        <v>0.1</v>
      </c>
      <c r="F6" s="37">
        <v>0.1</v>
      </c>
      <c r="G6" s="37">
        <v>0.1</v>
      </c>
      <c r="H6" s="37">
        <v>0.1</v>
      </c>
      <c r="I6" s="37">
        <v>0.1</v>
      </c>
    </row>
    <row r="7" spans="1:9">
      <c r="A7" s="5" t="s">
        <v>130</v>
      </c>
      <c r="B7" s="152">
        <v>0.5</v>
      </c>
      <c r="C7" s="37">
        <v>0.5</v>
      </c>
      <c r="D7" s="37">
        <v>0.5</v>
      </c>
      <c r="E7" s="37">
        <v>0.5</v>
      </c>
      <c r="F7" s="37">
        <v>0.5</v>
      </c>
      <c r="G7" s="37">
        <v>0.5</v>
      </c>
      <c r="H7" s="37">
        <v>0.5</v>
      </c>
      <c r="I7" s="37">
        <v>0.5</v>
      </c>
    </row>
    <row r="8" spans="1:9">
      <c r="A8" s="5" t="s">
        <v>131</v>
      </c>
      <c r="B8" s="148">
        <v>0.2</v>
      </c>
      <c r="C8" s="38">
        <v>0.2</v>
      </c>
      <c r="D8" s="38">
        <v>0.2</v>
      </c>
      <c r="E8" s="38">
        <v>0.2</v>
      </c>
      <c r="F8" s="38">
        <v>0.2</v>
      </c>
      <c r="G8" s="38">
        <v>0.2</v>
      </c>
      <c r="H8" s="38">
        <v>0.2</v>
      </c>
      <c r="I8" s="38">
        <v>0.2</v>
      </c>
    </row>
    <row r="9" spans="1:9">
      <c r="A9" s="97" t="s">
        <v>132</v>
      </c>
      <c r="B9" s="149">
        <v>7.6999999999999999E-2</v>
      </c>
      <c r="C9" s="37">
        <v>7.6999999999999999E-2</v>
      </c>
      <c r="D9" s="37">
        <v>7.6999999999999999E-2</v>
      </c>
      <c r="E9" s="37">
        <v>7.6999999999999999E-2</v>
      </c>
      <c r="F9" s="37">
        <v>7.6999999999999999E-2</v>
      </c>
      <c r="G9" s="37">
        <v>7.6999999999999999E-2</v>
      </c>
      <c r="H9" s="37">
        <v>7.6999999999999999E-2</v>
      </c>
      <c r="I9" s="37">
        <v>7.6999999999999999E-2</v>
      </c>
    </row>
    <row r="10" spans="1:9">
      <c r="A10" s="5" t="s">
        <v>151</v>
      </c>
      <c r="B10" s="148">
        <v>0.05</v>
      </c>
      <c r="C10" s="37">
        <v>0.05</v>
      </c>
      <c r="D10" s="37">
        <v>0.05</v>
      </c>
      <c r="E10" s="37">
        <v>0.05</v>
      </c>
      <c r="F10" s="37">
        <v>0.05</v>
      </c>
      <c r="G10" s="37">
        <v>0.05</v>
      </c>
      <c r="H10" s="37">
        <v>0.05</v>
      </c>
      <c r="I10" s="37">
        <v>0.05</v>
      </c>
    </row>
    <row r="11" spans="1:9">
      <c r="A11" s="97" t="s">
        <v>290</v>
      </c>
      <c r="B11" s="39">
        <v>0.5</v>
      </c>
      <c r="C11" s="39">
        <v>0.5</v>
      </c>
      <c r="D11" s="39">
        <v>0.5</v>
      </c>
      <c r="E11" s="39">
        <v>0.5</v>
      </c>
      <c r="F11" s="39">
        <v>0.5</v>
      </c>
      <c r="G11" s="39">
        <v>0.5</v>
      </c>
      <c r="H11" s="39">
        <v>0.5</v>
      </c>
      <c r="I11" s="39">
        <v>0.5</v>
      </c>
    </row>
    <row r="12" spans="1:9">
      <c r="A12" s="5" t="s">
        <v>162</v>
      </c>
      <c r="B12" s="60">
        <v>7</v>
      </c>
      <c r="C12" s="40"/>
      <c r="D12" s="40"/>
      <c r="E12" s="40"/>
      <c r="F12" s="40"/>
      <c r="G12" s="40"/>
      <c r="H12" s="40"/>
      <c r="I12" s="40"/>
    </row>
    <row r="13" spans="1:9">
      <c r="A13" s="5" t="s">
        <v>160</v>
      </c>
      <c r="B13" s="41">
        <v>0.05</v>
      </c>
      <c r="C13" s="20"/>
      <c r="D13" s="20"/>
      <c r="E13" s="20"/>
      <c r="F13" s="20"/>
      <c r="G13" s="20"/>
      <c r="H13" s="20"/>
      <c r="I13" s="20"/>
    </row>
    <row r="14" spans="1:9">
      <c r="A14" s="5" t="s">
        <v>236</v>
      </c>
      <c r="B14" s="50">
        <v>6.73</v>
      </c>
      <c r="C14" s="20"/>
      <c r="D14" s="20"/>
      <c r="E14" s="20"/>
      <c r="F14" s="20"/>
      <c r="G14" s="20"/>
      <c r="H14" s="20"/>
      <c r="I14" s="20"/>
    </row>
    <row r="15" spans="1:9">
      <c r="A15" s="5" t="s">
        <v>237</v>
      </c>
      <c r="B15" s="50">
        <v>4.45</v>
      </c>
      <c r="C15" s="20"/>
      <c r="D15" s="20"/>
      <c r="E15" s="20"/>
      <c r="F15" s="20"/>
      <c r="G15" s="20"/>
      <c r="H15" s="20"/>
      <c r="I15" s="20"/>
    </row>
    <row r="16" spans="1:9">
      <c r="A16" s="5" t="s">
        <v>169</v>
      </c>
      <c r="B16" s="69"/>
      <c r="C16" s="74">
        <v>0.05</v>
      </c>
      <c r="D16" s="74">
        <v>0.05</v>
      </c>
      <c r="E16" s="74">
        <v>0.05</v>
      </c>
      <c r="F16" s="74">
        <v>0.05</v>
      </c>
      <c r="G16" s="74">
        <v>0.05</v>
      </c>
      <c r="H16" s="74">
        <v>0.05</v>
      </c>
      <c r="I16" s="74">
        <v>0.05</v>
      </c>
    </row>
    <row r="17" spans="1:11">
      <c r="A17" s="5" t="s">
        <v>238</v>
      </c>
      <c r="B17" s="50">
        <f>'P2 History'!N41</f>
        <v>1399000</v>
      </c>
    </row>
    <row r="18" spans="1:11">
      <c r="A18" s="5" t="s">
        <v>118</v>
      </c>
      <c r="B18" s="51">
        <v>2.39</v>
      </c>
      <c r="K18" s="97"/>
    </row>
    <row r="19" spans="1:11">
      <c r="A19" s="5" t="s">
        <v>117</v>
      </c>
      <c r="B19" s="144">
        <v>10500000000</v>
      </c>
    </row>
    <row r="20" spans="1:11">
      <c r="A20" s="5" t="s">
        <v>135</v>
      </c>
      <c r="B20" s="41">
        <v>0.1</v>
      </c>
    </row>
    <row r="21" spans="1:11">
      <c r="A21" s="72" t="s">
        <v>239</v>
      </c>
      <c r="B21" s="70">
        <f>'P2 History'!E24</f>
        <v>1130000</v>
      </c>
    </row>
    <row r="22" spans="1:11">
      <c r="A22" s="72" t="s">
        <v>171</v>
      </c>
      <c r="B22" s="43"/>
      <c r="C22" s="41">
        <v>0.1</v>
      </c>
      <c r="D22" s="41">
        <v>0.1</v>
      </c>
      <c r="E22" s="41">
        <v>0.1</v>
      </c>
      <c r="F22" s="41">
        <v>0.1</v>
      </c>
      <c r="G22" s="41">
        <v>0.1</v>
      </c>
      <c r="H22" s="41">
        <v>0.1</v>
      </c>
      <c r="I22" s="41">
        <v>0.1</v>
      </c>
    </row>
    <row r="23" spans="1:11">
      <c r="A23" s="72" t="s">
        <v>172</v>
      </c>
      <c r="C23" s="41">
        <v>0.15</v>
      </c>
      <c r="D23" s="41">
        <v>0.15</v>
      </c>
      <c r="E23" s="41">
        <v>0.15</v>
      </c>
      <c r="F23" s="41">
        <v>0.15</v>
      </c>
      <c r="G23" s="41">
        <v>0.15</v>
      </c>
      <c r="H23" s="41">
        <v>0.15</v>
      </c>
      <c r="I23" s="41">
        <v>0.15</v>
      </c>
    </row>
    <row r="24" spans="1:11">
      <c r="A24" s="72" t="s">
        <v>174</v>
      </c>
      <c r="C24" s="41">
        <v>0.12</v>
      </c>
      <c r="D24" s="41">
        <v>0.12</v>
      </c>
      <c r="E24" s="41">
        <v>0.12</v>
      </c>
      <c r="F24" s="41">
        <v>0.12</v>
      </c>
      <c r="G24" s="41">
        <v>0.12</v>
      </c>
      <c r="H24" s="41">
        <v>0.12</v>
      </c>
      <c r="I24" s="41">
        <v>0.12</v>
      </c>
    </row>
    <row r="25" spans="1:11">
      <c r="A25" s="5" t="s">
        <v>240</v>
      </c>
      <c r="B25" s="153">
        <v>312000</v>
      </c>
      <c r="C25" s="20"/>
    </row>
    <row r="26" spans="1:11">
      <c r="A26" s="72" t="s">
        <v>173</v>
      </c>
      <c r="C26" s="41">
        <v>0.14000000000000001</v>
      </c>
      <c r="D26" s="41">
        <v>0.14000000000000001</v>
      </c>
      <c r="E26" s="41">
        <v>0.14000000000000001</v>
      </c>
      <c r="F26" s="41">
        <v>0.14000000000000001</v>
      </c>
      <c r="G26" s="41">
        <v>0.14000000000000001</v>
      </c>
      <c r="H26" s="41">
        <v>0.14000000000000001</v>
      </c>
      <c r="I26" s="41">
        <v>0.14000000000000001</v>
      </c>
    </row>
    <row r="27" spans="1:11">
      <c r="A27" s="72" t="s">
        <v>181</v>
      </c>
      <c r="C27" s="41">
        <v>0.02</v>
      </c>
      <c r="D27" s="41">
        <v>0.02</v>
      </c>
      <c r="E27" s="41">
        <v>0.02</v>
      </c>
      <c r="F27" s="41">
        <v>0.02</v>
      </c>
      <c r="G27" s="41">
        <v>0.02</v>
      </c>
      <c r="H27" s="41">
        <v>0.02</v>
      </c>
      <c r="I27" s="41">
        <v>0.02</v>
      </c>
    </row>
    <row r="28" spans="1:11">
      <c r="A28" s="72" t="s">
        <v>241</v>
      </c>
      <c r="B28" s="73">
        <f>'P2 History'!E55</f>
        <v>9335000</v>
      </c>
      <c r="C28" s="63"/>
      <c r="D28" s="63"/>
      <c r="E28" s="63"/>
      <c r="F28" s="63"/>
      <c r="G28" s="63"/>
      <c r="H28" s="63"/>
      <c r="I28" s="63"/>
    </row>
    <row r="29" spans="1:11">
      <c r="A29" s="72" t="s">
        <v>243</v>
      </c>
      <c r="B29" s="73"/>
      <c r="C29" s="63"/>
      <c r="D29" s="63"/>
      <c r="E29" s="63"/>
      <c r="F29" s="63"/>
      <c r="G29" s="63"/>
      <c r="H29" s="63"/>
      <c r="I29" s="63"/>
    </row>
    <row r="30" spans="1:11">
      <c r="A30" s="72" t="s">
        <v>242</v>
      </c>
      <c r="B30" s="73">
        <f>'P2 History'!E32</f>
        <v>1160000</v>
      </c>
    </row>
    <row r="31" spans="1:11">
      <c r="A31" s="72" t="s">
        <v>193</v>
      </c>
      <c r="B31" s="41">
        <v>0.2</v>
      </c>
      <c r="C31" s="97" t="s">
        <v>298</v>
      </c>
    </row>
    <row r="32" spans="1:11">
      <c r="A32" s="72" t="s">
        <v>194</v>
      </c>
      <c r="B32" s="41">
        <v>0.2</v>
      </c>
      <c r="C32" s="97" t="s">
        <v>298</v>
      </c>
    </row>
    <row r="33" spans="1:3">
      <c r="A33" s="72" t="s">
        <v>197</v>
      </c>
      <c r="B33" s="41">
        <v>0.05</v>
      </c>
      <c r="C33" s="97" t="s">
        <v>298</v>
      </c>
    </row>
    <row r="34" spans="1:3">
      <c r="A34" s="72" t="s">
        <v>196</v>
      </c>
      <c r="B34" s="41">
        <v>0.15</v>
      </c>
      <c r="C34" s="97" t="s">
        <v>298</v>
      </c>
    </row>
    <row r="35" spans="1:3">
      <c r="A35" s="72" t="s">
        <v>195</v>
      </c>
      <c r="B35" s="41">
        <v>0.06</v>
      </c>
      <c r="C35" s="97" t="s">
        <v>298</v>
      </c>
    </row>
    <row r="36" spans="1:3">
      <c r="A36" s="72" t="s">
        <v>224</v>
      </c>
      <c r="B36" s="195">
        <v>0.02</v>
      </c>
    </row>
  </sheetData>
  <phoneticPr fontId="0" type="noConversion"/>
  <conditionalFormatting sqref="B7">
    <cfRule type="iconSet" priority="1">
      <iconSet iconSet="4Rating">
        <cfvo type="percent" val="0"/>
        <cfvo type="percent" val="25"/>
        <cfvo type="percent" val="50"/>
        <cfvo type="percent" val="75"/>
      </iconSet>
    </cfRule>
  </conditionalFormatting>
  <conditionalFormatting sqref="C6:I11">
    <cfRule type="iconSet" priority="5">
      <iconSet iconSet="4Rating">
        <cfvo type="percent" val="0"/>
        <cfvo type="percent" val="25"/>
        <cfvo type="percent" val="50"/>
        <cfvo type="percent" val="75"/>
      </iconSet>
    </cfRule>
  </conditionalFormatting>
  <conditionalFormatting sqref="C16:I16">
    <cfRule type="iconSet" priority="4">
      <iconSet iconSet="4Rating">
        <cfvo type="percent" val="0"/>
        <cfvo type="percent" val="25"/>
        <cfvo type="percent" val="50"/>
        <cfvo type="percent" val="75"/>
      </iconSet>
    </cfRule>
  </conditionalFormatting>
  <conditionalFormatting sqref="C22:I24">
    <cfRule type="iconSet" priority="3">
      <iconSet iconSet="4Rating">
        <cfvo type="percent" val="0"/>
        <cfvo type="percent" val="25"/>
        <cfvo type="percent" val="50"/>
        <cfvo type="percent" val="75"/>
      </iconSet>
    </cfRule>
  </conditionalFormatting>
  <conditionalFormatting sqref="C26:I27">
    <cfRule type="iconSet" priority="2">
      <iconSet iconSet="4Rating">
        <cfvo type="percent" val="0"/>
        <cfvo type="percent" val="25"/>
        <cfvo type="percent" val="50"/>
        <cfvo type="percent" val="75"/>
      </iconSet>
    </cfRule>
  </conditionalFormatting>
  <pageMargins left="0.75" right="0.75" top="1" bottom="1" header="0.5" footer="0.5"/>
  <pageSetup paperSize="9" orientation="portrait" horizontalDpi="4294967295" verticalDpi="4294967295"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7"/>
  <sheetViews>
    <sheetView workbookViewId="0">
      <selection sqref="A1:E1"/>
    </sheetView>
  </sheetViews>
  <sheetFormatPr defaultRowHeight="13.2"/>
  <cols>
    <col min="1" max="1" width="45.6640625" bestFit="1" customWidth="1"/>
    <col min="2" max="2" width="14.88671875" customWidth="1"/>
    <col min="3" max="8" width="10.21875" bestFit="1" customWidth="1"/>
    <col min="9" max="9" width="10.109375" bestFit="1" customWidth="1"/>
  </cols>
  <sheetData>
    <row r="1" spans="1:9" ht="21">
      <c r="A1" s="212" t="s">
        <v>292</v>
      </c>
      <c r="B1" s="212"/>
      <c r="C1" s="212"/>
      <c r="D1" s="212"/>
      <c r="E1" s="212"/>
      <c r="F1" s="90" t="s">
        <v>265</v>
      </c>
      <c r="G1" s="91">
        <v>5</v>
      </c>
    </row>
    <row r="3" spans="1:9" ht="14.4">
      <c r="A3" s="85" t="s">
        <v>225</v>
      </c>
    </row>
    <row r="4" spans="1:9" ht="15.6">
      <c r="A4" s="1"/>
      <c r="B4" s="16" t="s">
        <v>133</v>
      </c>
      <c r="C4" s="16" t="s">
        <v>49</v>
      </c>
      <c r="D4" s="16" t="s">
        <v>50</v>
      </c>
      <c r="E4" s="16" t="s">
        <v>51</v>
      </c>
      <c r="F4" s="16" t="s">
        <v>52</v>
      </c>
      <c r="G4" s="16" t="s">
        <v>53</v>
      </c>
      <c r="H4" s="16" t="s">
        <v>54</v>
      </c>
      <c r="I4" s="16" t="s">
        <v>55</v>
      </c>
    </row>
    <row r="5" spans="1:9" ht="15.6">
      <c r="A5" s="6" t="s">
        <v>293</v>
      </c>
      <c r="B5" s="6"/>
      <c r="C5" s="7"/>
      <c r="D5" s="7"/>
      <c r="E5" s="7"/>
      <c r="F5" s="7"/>
      <c r="G5" s="7"/>
      <c r="H5" s="7"/>
      <c r="I5" s="7"/>
    </row>
    <row r="6" spans="1:9" ht="15.6">
      <c r="A6" s="1"/>
      <c r="B6" s="1"/>
      <c r="C6" s="8"/>
      <c r="D6" s="8"/>
      <c r="E6" s="8"/>
      <c r="F6" s="8"/>
      <c r="G6" s="8"/>
      <c r="H6" s="8"/>
      <c r="I6" s="8"/>
    </row>
    <row r="7" spans="1:9">
      <c r="A7" s="97" t="s">
        <v>294</v>
      </c>
      <c r="B7" s="128">
        <f>('P2 History'!X25+'P2 History'!Y25+'P2 History'!Z25)/3</f>
        <v>354000</v>
      </c>
      <c r="C7" s="127">
        <f t="shared" ref="C7:H7" si="0">B7</f>
        <v>354000</v>
      </c>
      <c r="D7" s="127">
        <f t="shared" si="0"/>
        <v>354000</v>
      </c>
      <c r="E7" s="127">
        <f t="shared" si="0"/>
        <v>354000</v>
      </c>
      <c r="F7" s="127">
        <f t="shared" si="0"/>
        <v>354000</v>
      </c>
      <c r="G7" s="127">
        <f t="shared" si="0"/>
        <v>354000</v>
      </c>
      <c r="H7" s="127">
        <f t="shared" si="0"/>
        <v>354000</v>
      </c>
      <c r="I7" s="130">
        <v>0</v>
      </c>
    </row>
    <row r="8" spans="1:9">
      <c r="A8" s="5" t="s">
        <v>134</v>
      </c>
      <c r="B8" s="128">
        <v>0</v>
      </c>
      <c r="C8" s="140">
        <f>'P2 History'!N24*'P3 Inputs'!B20</f>
        <v>976500</v>
      </c>
      <c r="D8" s="135"/>
      <c r="E8" s="135"/>
      <c r="F8" s="135"/>
      <c r="G8" s="135"/>
      <c r="H8" s="135"/>
      <c r="I8" s="40"/>
    </row>
    <row r="9" spans="1:9">
      <c r="A9" s="97" t="s">
        <v>295</v>
      </c>
      <c r="B9" s="129">
        <v>0</v>
      </c>
      <c r="C9" s="136">
        <f>C8/7</f>
        <v>139500</v>
      </c>
      <c r="D9" s="136">
        <f>C8/7</f>
        <v>139500</v>
      </c>
      <c r="E9" s="136">
        <f>C8/7</f>
        <v>139500</v>
      </c>
      <c r="F9" s="136">
        <f>C8/7</f>
        <v>139500</v>
      </c>
      <c r="G9" s="136">
        <f>C8/7</f>
        <v>139500</v>
      </c>
      <c r="H9" s="136">
        <f>C8/7</f>
        <v>139500</v>
      </c>
      <c r="I9" s="130">
        <v>0</v>
      </c>
    </row>
    <row r="10" spans="1:9">
      <c r="B10" s="129"/>
    </row>
    <row r="11" spans="1:9" ht="15.6">
      <c r="A11" s="15" t="s">
        <v>296</v>
      </c>
      <c r="B11" s="129">
        <f>B7+B9</f>
        <v>354000</v>
      </c>
      <c r="C11" s="137">
        <f>C7+C9</f>
        <v>493500</v>
      </c>
      <c r="D11" s="137">
        <f t="shared" ref="D11:I11" si="1">D7+D9</f>
        <v>493500</v>
      </c>
      <c r="E11" s="137">
        <f t="shared" si="1"/>
        <v>493500</v>
      </c>
      <c r="F11" s="137">
        <f t="shared" si="1"/>
        <v>493500</v>
      </c>
      <c r="G11" s="137">
        <f t="shared" si="1"/>
        <v>493500</v>
      </c>
      <c r="H11" s="137">
        <f t="shared" si="1"/>
        <v>493500</v>
      </c>
      <c r="I11" s="137">
        <f t="shared" si="1"/>
        <v>0</v>
      </c>
    </row>
    <row r="12" spans="1:9">
      <c r="B12" s="129"/>
      <c r="C12" s="120"/>
      <c r="D12" s="120"/>
      <c r="E12" s="120"/>
      <c r="F12" s="120"/>
      <c r="G12" s="120"/>
      <c r="H12" s="120"/>
      <c r="I12" s="120"/>
    </row>
    <row r="13" spans="1:9">
      <c r="A13" s="97" t="s">
        <v>297</v>
      </c>
      <c r="B13" s="129">
        <f>B11</f>
        <v>354000</v>
      </c>
      <c r="C13" s="138">
        <f t="shared" ref="C13:I13" si="2">B13+C11</f>
        <v>847500</v>
      </c>
      <c r="D13" s="138">
        <f t="shared" si="2"/>
        <v>1341000</v>
      </c>
      <c r="E13" s="138">
        <f t="shared" si="2"/>
        <v>1834500</v>
      </c>
      <c r="F13" s="138">
        <f t="shared" si="2"/>
        <v>2328000</v>
      </c>
      <c r="G13" s="138">
        <f t="shared" si="2"/>
        <v>2821500</v>
      </c>
      <c r="H13" s="138">
        <f t="shared" si="2"/>
        <v>3315000</v>
      </c>
      <c r="I13" s="138">
        <f t="shared" si="2"/>
        <v>3315000</v>
      </c>
    </row>
    <row r="17" spans="1:6">
      <c r="C17" s="120"/>
    </row>
    <row r="19" spans="1:6">
      <c r="A19" s="139" t="s">
        <v>388</v>
      </c>
      <c r="F19" s="43"/>
    </row>
    <row r="20" spans="1:6">
      <c r="A20" s="139" t="s">
        <v>389</v>
      </c>
    </row>
    <row r="21" spans="1:6">
      <c r="A21" s="139" t="s">
        <v>390</v>
      </c>
      <c r="B21" s="120"/>
    </row>
    <row r="22" spans="1:6">
      <c r="A22" s="139" t="s">
        <v>385</v>
      </c>
    </row>
    <row r="23" spans="1:6">
      <c r="A23" s="139" t="s">
        <v>386</v>
      </c>
    </row>
    <row r="25" spans="1:6">
      <c r="A25" s="97"/>
    </row>
    <row r="26" spans="1:6">
      <c r="A26" s="131"/>
    </row>
    <row r="27" spans="1:6">
      <c r="A27" s="131"/>
    </row>
  </sheetData>
  <mergeCells count="1">
    <mergeCell ref="A1:E1"/>
  </mergeCells>
  <pageMargins left="0.7" right="0.7" top="0.75" bottom="0.75" header="0.3" footer="0.3"/>
  <pageSetup paperSize="9" orientation="portrait" horizontalDpi="4294967295" verticalDpi="4294967295"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9"/>
  <sheetViews>
    <sheetView zoomScaleNormal="100" workbookViewId="0"/>
  </sheetViews>
  <sheetFormatPr defaultRowHeight="13.2"/>
  <cols>
    <col min="1" max="1" width="25.6640625" customWidth="1"/>
    <col min="2" max="2" width="23" customWidth="1"/>
    <col min="3" max="3" width="13.44140625" customWidth="1"/>
    <col min="4" max="4" width="16.109375" customWidth="1"/>
    <col min="5" max="7" width="10.6640625" customWidth="1"/>
    <col min="8" max="8" width="15.33203125" customWidth="1"/>
    <col min="9" max="9" width="13.109375" bestFit="1" customWidth="1"/>
    <col min="10" max="10" width="27.77734375" customWidth="1"/>
    <col min="14" max="14" width="14.21875" customWidth="1"/>
  </cols>
  <sheetData>
    <row r="1" spans="1:12" ht="21">
      <c r="C1" s="34" t="s">
        <v>147</v>
      </c>
      <c r="F1" s="90" t="s">
        <v>265</v>
      </c>
      <c r="G1" s="91">
        <v>15</v>
      </c>
    </row>
    <row r="2" spans="1:12" ht="14.4">
      <c r="A2" s="85" t="s">
        <v>225</v>
      </c>
    </row>
    <row r="3" spans="1:12" ht="14.4">
      <c r="A3" s="42" t="s">
        <v>136</v>
      </c>
    </row>
    <row r="4" spans="1:12" ht="14.4">
      <c r="A4" s="42"/>
    </row>
    <row r="5" spans="1:12">
      <c r="A5" t="s">
        <v>137</v>
      </c>
      <c r="B5" s="116">
        <f>'P4 Assets amortization'!C8</f>
        <v>976500</v>
      </c>
    </row>
    <row r="6" spans="1:12">
      <c r="B6" s="120"/>
    </row>
    <row r="7" spans="1:12" ht="15.6">
      <c r="A7" s="15" t="s">
        <v>274</v>
      </c>
      <c r="B7" s="116">
        <f>B5/3</f>
        <v>325500</v>
      </c>
    </row>
    <row r="8" spans="1:12">
      <c r="B8" s="43"/>
    </row>
    <row r="9" spans="1:12">
      <c r="A9" t="s">
        <v>138</v>
      </c>
      <c r="B9" s="54">
        <f>'P3 Inputs'!C9</f>
        <v>7.6999999999999999E-2</v>
      </c>
      <c r="L9" s="44"/>
    </row>
    <row r="10" spans="1:12">
      <c r="A10" t="s">
        <v>139</v>
      </c>
      <c r="B10" s="61">
        <f>'P3 Inputs'!B12</f>
        <v>7</v>
      </c>
    </row>
    <row r="12" spans="1:12" ht="13.8" thickBot="1">
      <c r="A12" s="3" t="s">
        <v>140</v>
      </c>
      <c r="B12" s="48" t="s">
        <v>49</v>
      </c>
      <c r="C12" s="48" t="s">
        <v>50</v>
      </c>
      <c r="D12" s="48" t="s">
        <v>51</v>
      </c>
      <c r="E12" s="48" t="s">
        <v>52</v>
      </c>
      <c r="F12" s="48" t="s">
        <v>53</v>
      </c>
      <c r="G12" s="48" t="s">
        <v>54</v>
      </c>
      <c r="H12" s="48" t="s">
        <v>55</v>
      </c>
    </row>
    <row r="13" spans="1:12">
      <c r="A13" t="s">
        <v>141</v>
      </c>
      <c r="B13" s="116">
        <f>B7</f>
        <v>325500</v>
      </c>
      <c r="C13" s="116">
        <f>B13-B16</f>
        <v>288683.9431899428</v>
      </c>
      <c r="D13" s="116">
        <f>C13-C16</f>
        <v>249033.05000551118</v>
      </c>
      <c r="E13" s="116">
        <f t="shared" ref="E13:H13" si="0">D13-D16</f>
        <v>206329.03804587832</v>
      </c>
      <c r="F13" s="116">
        <f t="shared" si="0"/>
        <v>160336.81716535374</v>
      </c>
      <c r="G13" s="116">
        <f t="shared" si="0"/>
        <v>110803.19527702878</v>
      </c>
      <c r="H13" s="116">
        <f t="shared" si="0"/>
        <v>57455.484503302781</v>
      </c>
      <c r="I13" s="129">
        <f>H13-H16</f>
        <v>-1.1641532182693481E-10</v>
      </c>
    </row>
    <row r="14" spans="1:12">
      <c r="A14" t="s">
        <v>142</v>
      </c>
      <c r="B14" s="116">
        <f>PMT(B9,B10,-B13,0,0)</f>
        <v>61879.556810057213</v>
      </c>
      <c r="C14" s="116">
        <f>PMT(B9,B10,-B13,0,0)</f>
        <v>61879.556810057213</v>
      </c>
      <c r="D14" s="116">
        <f>PMT(B9,B10,-B13,0,0)</f>
        <v>61879.556810057213</v>
      </c>
      <c r="E14" s="116">
        <f>PMT(B9,B10,-B13,0,0)</f>
        <v>61879.556810057213</v>
      </c>
      <c r="F14" s="116">
        <f>PMT(B9,B10,-B13,0,0)</f>
        <v>61879.556810057213</v>
      </c>
      <c r="G14" s="116">
        <f>PMT(B9,B10,-B13,0,0)</f>
        <v>61879.556810057213</v>
      </c>
      <c r="H14" s="116">
        <f>PMT(B9,B10,-B13,0,0)</f>
        <v>61879.556810057213</v>
      </c>
      <c r="I14" s="116">
        <f>PMT(B9,B10,-B13,0,0)</f>
        <v>61879.556810057213</v>
      </c>
    </row>
    <row r="15" spans="1:12">
      <c r="A15" t="s">
        <v>143</v>
      </c>
      <c r="B15" s="116">
        <f>B13*B9</f>
        <v>25063.5</v>
      </c>
      <c r="C15" s="116">
        <f>C13*B9</f>
        <v>22228.663625625595</v>
      </c>
      <c r="D15" s="116">
        <f>D13*B9</f>
        <v>19175.544850424361</v>
      </c>
      <c r="E15" s="116">
        <f>E13*B9</f>
        <v>15887.33592953263</v>
      </c>
      <c r="F15" s="116">
        <f>F13*B9</f>
        <v>12345.934921732238</v>
      </c>
      <c r="G15" s="116">
        <f>G13*B9</f>
        <v>8531.8460363312151</v>
      </c>
      <c r="H15" s="116">
        <f>H13*B9</f>
        <v>4424.072306754314</v>
      </c>
      <c r="I15" s="129">
        <f>B9*I13</f>
        <v>-8.9639797806739806E-12</v>
      </c>
      <c r="J15" s="141"/>
    </row>
    <row r="16" spans="1:12">
      <c r="A16" t="s">
        <v>144</v>
      </c>
      <c r="B16" s="116">
        <f>B14-B15</f>
        <v>36816.056810057213</v>
      </c>
      <c r="C16" s="116">
        <f>C14-C15</f>
        <v>39650.893184431618</v>
      </c>
      <c r="D16" s="116">
        <f t="shared" ref="D16:H16" si="1">D14-D15</f>
        <v>42704.011959632851</v>
      </c>
      <c r="E16" s="116">
        <f t="shared" si="1"/>
        <v>45992.220880524583</v>
      </c>
      <c r="F16" s="116">
        <f t="shared" si="1"/>
        <v>49533.621888324975</v>
      </c>
      <c r="G16" s="116">
        <f t="shared" si="1"/>
        <v>53347.710773725994</v>
      </c>
      <c r="H16" s="116">
        <f t="shared" si="1"/>
        <v>57455.484503302898</v>
      </c>
      <c r="I16" s="120">
        <f>I14-I15</f>
        <v>61879.55681005722</v>
      </c>
    </row>
    <row r="17" spans="1:14">
      <c r="G17" s="45"/>
    </row>
    <row r="18" spans="1:14">
      <c r="J18" s="142"/>
    </row>
    <row r="19" spans="1:14" ht="15.6">
      <c r="A19" s="15" t="s">
        <v>275</v>
      </c>
      <c r="B19" s="116">
        <f>B5/3</f>
        <v>325500</v>
      </c>
    </row>
    <row r="20" spans="1:14">
      <c r="A20" t="s">
        <v>145</v>
      </c>
      <c r="B20" s="61">
        <v>7</v>
      </c>
      <c r="D20" s="141"/>
      <c r="F20" s="142"/>
    </row>
    <row r="21" spans="1:14">
      <c r="A21" s="5" t="s">
        <v>150</v>
      </c>
      <c r="B21" s="143">
        <f>B5/3</f>
        <v>325500</v>
      </c>
      <c r="E21" s="46"/>
      <c r="F21" s="47"/>
    </row>
    <row r="22" spans="1:14">
      <c r="A22" t="s">
        <v>146</v>
      </c>
      <c r="B22" s="55">
        <v>0.05</v>
      </c>
      <c r="D22" s="141"/>
    </row>
    <row r="23" spans="1:14">
      <c r="A23" s="97" t="s">
        <v>387</v>
      </c>
      <c r="B23" s="143">
        <f>B21*B22</f>
        <v>16275</v>
      </c>
    </row>
    <row r="25" spans="1:14" ht="13.8" thickBot="1">
      <c r="A25" s="3" t="s">
        <v>140</v>
      </c>
      <c r="B25" s="48" t="s">
        <v>49</v>
      </c>
      <c r="C25" s="48" t="s">
        <v>50</v>
      </c>
      <c r="D25" s="48" t="s">
        <v>51</v>
      </c>
      <c r="E25" s="48" t="s">
        <v>52</v>
      </c>
      <c r="F25" s="48" t="s">
        <v>53</v>
      </c>
      <c r="G25" s="48" t="s">
        <v>54</v>
      </c>
      <c r="H25" s="48" t="s">
        <v>55</v>
      </c>
    </row>
    <row r="26" spans="1:14">
      <c r="A26" s="5" t="s">
        <v>152</v>
      </c>
      <c r="B26" s="143">
        <f>B21</f>
        <v>325500</v>
      </c>
      <c r="C26" s="143">
        <f>B21</f>
        <v>325500</v>
      </c>
      <c r="D26" s="143">
        <f>B21</f>
        <v>325500</v>
      </c>
      <c r="E26" s="143">
        <f>B21</f>
        <v>325500</v>
      </c>
      <c r="F26" s="143">
        <f>B21</f>
        <v>325500</v>
      </c>
      <c r="G26" s="143">
        <f>B21</f>
        <v>325500</v>
      </c>
      <c r="H26" s="143">
        <f>B21</f>
        <v>325500</v>
      </c>
      <c r="N26" s="97"/>
    </row>
    <row r="27" spans="1:14">
      <c r="A27" s="5" t="s">
        <v>153</v>
      </c>
      <c r="B27" s="143">
        <f>B22*B26</f>
        <v>16275</v>
      </c>
      <c r="C27" s="143">
        <f>C26*B22</f>
        <v>16275</v>
      </c>
      <c r="D27" s="143">
        <f>D26*B22</f>
        <v>16275</v>
      </c>
      <c r="E27" s="143">
        <f>E26*B22</f>
        <v>16275</v>
      </c>
      <c r="F27" s="143">
        <f>F26*B22</f>
        <v>16275</v>
      </c>
      <c r="G27" s="143">
        <f>G26*B22</f>
        <v>16275</v>
      </c>
      <c r="H27" s="143">
        <f>H26*B22</f>
        <v>16275</v>
      </c>
    </row>
    <row r="28" spans="1:14">
      <c r="A28" s="5" t="s">
        <v>144</v>
      </c>
      <c r="B28" s="143">
        <v>0</v>
      </c>
      <c r="C28" s="143">
        <v>0</v>
      </c>
      <c r="D28" s="143">
        <v>0</v>
      </c>
      <c r="E28" s="143">
        <v>0</v>
      </c>
      <c r="F28" s="143">
        <v>0</v>
      </c>
      <c r="G28" s="143">
        <v>0</v>
      </c>
      <c r="H28" s="143">
        <f>B21</f>
        <v>325500</v>
      </c>
      <c r="N28" s="97"/>
    </row>
    <row r="29" spans="1:14">
      <c r="A29" s="5" t="s">
        <v>154</v>
      </c>
      <c r="B29" s="143">
        <f t="shared" ref="B29:H29" si="2">B27+B28</f>
        <v>16275</v>
      </c>
      <c r="C29" s="143">
        <f t="shared" si="2"/>
        <v>16275</v>
      </c>
      <c r="D29" s="143">
        <f t="shared" si="2"/>
        <v>16275</v>
      </c>
      <c r="E29" s="143">
        <f t="shared" si="2"/>
        <v>16275</v>
      </c>
      <c r="F29" s="143">
        <f t="shared" si="2"/>
        <v>16275</v>
      </c>
      <c r="G29" s="143">
        <f t="shared" si="2"/>
        <v>16275</v>
      </c>
      <c r="H29" s="143">
        <f t="shared" si="2"/>
        <v>341775</v>
      </c>
    </row>
    <row r="30" spans="1:14">
      <c r="A30" s="5"/>
      <c r="B30" s="45"/>
      <c r="C30" s="45"/>
      <c r="D30" s="45"/>
      <c r="E30" s="45"/>
      <c r="F30" s="45"/>
      <c r="G30" s="45"/>
      <c r="H30" s="45"/>
    </row>
    <row r="32" spans="1:14" ht="15.6">
      <c r="A32" s="15" t="s">
        <v>276</v>
      </c>
      <c r="B32" s="116">
        <f>B5/3</f>
        <v>325500</v>
      </c>
    </row>
    <row r="33" spans="1:10">
      <c r="B33" s="120"/>
    </row>
    <row r="34" spans="1:10" ht="13.8" thickBot="1">
      <c r="A34" s="3" t="s">
        <v>140</v>
      </c>
      <c r="B34" s="151" t="s">
        <v>133</v>
      </c>
      <c r="C34" s="16"/>
      <c r="D34" s="16"/>
      <c r="E34" s="16"/>
      <c r="F34" s="16"/>
      <c r="G34" s="16"/>
      <c r="H34" s="16"/>
      <c r="I34" s="16"/>
      <c r="J34" s="43"/>
    </row>
    <row r="35" spans="1:10">
      <c r="B35" s="120"/>
    </row>
    <row r="36" spans="1:10">
      <c r="A36" s="5" t="s">
        <v>155</v>
      </c>
      <c r="B36" s="116">
        <f>'P2 History'!N42</f>
        <v>1399000</v>
      </c>
    </row>
    <row r="37" spans="1:10">
      <c r="A37" s="5" t="s">
        <v>2</v>
      </c>
      <c r="B37" s="116">
        <f>B36*'P3 Inputs'!B11</f>
        <v>699500</v>
      </c>
    </row>
    <row r="39" spans="1:10">
      <c r="A39" s="5" t="s">
        <v>158</v>
      </c>
      <c r="B39" s="56">
        <f>(((B36*'P5 Cost of capital'!C11)/'P3 Inputs'!B19))*(1+'P5 Cost of capital'!B13)/'P3 Inputs'!B18+'P3 Inputs'!B13</f>
        <v>0.05</v>
      </c>
      <c r="C39" s="44"/>
    </row>
    <row r="40" spans="1:10">
      <c r="J40" s="147"/>
    </row>
    <row r="42" spans="1:10" ht="15.6">
      <c r="A42" s="15" t="s">
        <v>149</v>
      </c>
    </row>
    <row r="43" spans="1:10">
      <c r="B43" s="52" t="s">
        <v>189</v>
      </c>
      <c r="C43" s="52" t="s">
        <v>190</v>
      </c>
      <c r="D43" s="52" t="s">
        <v>157</v>
      </c>
      <c r="J43" s="97"/>
    </row>
    <row r="44" spans="1:10">
      <c r="A44" s="5" t="s">
        <v>148</v>
      </c>
      <c r="B44" s="116">
        <f>B7</f>
        <v>325500</v>
      </c>
      <c r="C44" s="56">
        <f>B44/(B44+B45+B46)</f>
        <v>0.33333333333333331</v>
      </c>
      <c r="D44" s="54">
        <f>B9*(1-'P3 Inputs'!B8)</f>
        <v>6.1600000000000002E-2</v>
      </c>
      <c r="H44" s="145"/>
      <c r="J44" s="146"/>
    </row>
    <row r="45" spans="1:10">
      <c r="A45" s="5" t="s">
        <v>156</v>
      </c>
      <c r="B45" s="116">
        <f>B19</f>
        <v>325500</v>
      </c>
      <c r="C45" s="56">
        <f>B45/(B44+B45+B46)</f>
        <v>0.33333333333333331</v>
      </c>
      <c r="D45" s="54">
        <f>B22*(1-'P3 Inputs'!B8)</f>
        <v>4.0000000000000008E-2</v>
      </c>
      <c r="H45" s="145"/>
      <c r="J45" s="97"/>
    </row>
    <row r="46" spans="1:10">
      <c r="A46" s="5" t="s">
        <v>20</v>
      </c>
      <c r="B46" s="116">
        <f>B32</f>
        <v>325500</v>
      </c>
      <c r="C46" s="56">
        <f>B46/(B44+B45+B46)</f>
        <v>0.33333333333333331</v>
      </c>
      <c r="D46" s="54">
        <f>B39</f>
        <v>0.05</v>
      </c>
    </row>
    <row r="47" spans="1:10">
      <c r="A47" s="5"/>
      <c r="B47" s="43"/>
      <c r="C47" s="49"/>
    </row>
    <row r="48" spans="1:10">
      <c r="A48" s="5" t="s">
        <v>161</v>
      </c>
      <c r="B48" s="116">
        <f>SUM(B44:B46)</f>
        <v>976500</v>
      </c>
      <c r="C48" s="57"/>
    </row>
    <row r="50" spans="1:4" ht="13.8" thickBot="1"/>
    <row r="51" spans="1:4" ht="13.8" thickBot="1">
      <c r="A51" s="58" t="s">
        <v>149</v>
      </c>
      <c r="B51" s="59">
        <f>(C44*D44)+(C45*D45)+(C46*D46)</f>
        <v>5.0533333333333333E-2</v>
      </c>
      <c r="D51" s="150"/>
    </row>
    <row r="52" spans="1:4">
      <c r="B52">
        <v>5.0500000000000003E-2</v>
      </c>
    </row>
    <row r="58" spans="1:4">
      <c r="A58" s="145"/>
    </row>
    <row r="64" spans="1:4">
      <c r="C64" s="97"/>
      <c r="D64" s="44"/>
    </row>
    <row r="65" spans="3:4">
      <c r="C65" s="97"/>
      <c r="D65" s="20"/>
    </row>
    <row r="66" spans="3:4">
      <c r="C66" s="97"/>
      <c r="D66" s="20"/>
    </row>
    <row r="67" spans="3:4">
      <c r="C67" s="97"/>
      <c r="D67" s="43"/>
    </row>
    <row r="68" spans="3:4">
      <c r="C68" s="97"/>
    </row>
    <row r="69" spans="3:4">
      <c r="C69" s="97"/>
      <c r="D69" s="20"/>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3"/>
  <sheetViews>
    <sheetView workbookViewId="0"/>
  </sheetViews>
  <sheetFormatPr defaultRowHeight="13.2"/>
  <cols>
    <col min="1" max="1" width="40.6640625" customWidth="1"/>
    <col min="2" max="2" width="13.88671875" bestFit="1" customWidth="1"/>
    <col min="3" max="9" width="14.6640625" customWidth="1"/>
    <col min="10" max="10" width="11.109375" customWidth="1"/>
    <col min="11" max="11" width="11.33203125" customWidth="1"/>
  </cols>
  <sheetData>
    <row r="1" spans="1:11" ht="21">
      <c r="B1" s="34" t="s">
        <v>182</v>
      </c>
      <c r="G1" s="90" t="s">
        <v>265</v>
      </c>
      <c r="H1" s="91">
        <v>15</v>
      </c>
    </row>
    <row r="2" spans="1:11" ht="15.6">
      <c r="A2" s="1"/>
      <c r="J2" s="5"/>
    </row>
    <row r="3" spans="1:11" ht="15.6">
      <c r="A3" s="1"/>
      <c r="B3" s="16" t="s">
        <v>133</v>
      </c>
      <c r="C3" s="16" t="s">
        <v>49</v>
      </c>
      <c r="D3" s="16" t="s">
        <v>50</v>
      </c>
      <c r="E3" s="16" t="s">
        <v>51</v>
      </c>
      <c r="F3" s="16" t="s">
        <v>52</v>
      </c>
      <c r="G3" s="16" t="s">
        <v>53</v>
      </c>
      <c r="H3" s="16" t="s">
        <v>54</v>
      </c>
      <c r="I3" s="16" t="s">
        <v>55</v>
      </c>
    </row>
    <row r="5" spans="1:11" ht="15.6">
      <c r="A5" s="15" t="s">
        <v>277</v>
      </c>
      <c r="B5" s="8"/>
      <c r="C5" s="8"/>
      <c r="D5" s="8"/>
      <c r="E5" s="8"/>
      <c r="F5" s="8"/>
      <c r="G5" s="8"/>
      <c r="H5" s="8"/>
    </row>
    <row r="6" spans="1:11">
      <c r="A6" s="5" t="s">
        <v>163</v>
      </c>
      <c r="B6" s="155">
        <f>'P2 History'!N24</f>
        <v>9765000</v>
      </c>
      <c r="C6" s="156">
        <f>B6*(1+'P3 Inputs'!C6)</f>
        <v>12206250</v>
      </c>
      <c r="D6" s="156">
        <f>C6*(1+'P3 Inputs'!D6)</f>
        <v>14647500</v>
      </c>
      <c r="E6" s="156">
        <f>D6*(1+'P3 Inputs'!E6)</f>
        <v>16112250.000000002</v>
      </c>
      <c r="F6" s="156">
        <f>E6*(1+'P3 Inputs'!F6)</f>
        <v>17723475.000000004</v>
      </c>
      <c r="G6" s="156">
        <f>F6*(1+'P3 Inputs'!G6)</f>
        <v>19495822.500000007</v>
      </c>
      <c r="H6" s="156">
        <f>G6*(1+'P3 Inputs'!H6)</f>
        <v>21445404.750000011</v>
      </c>
      <c r="I6" s="156">
        <f>H6*(1+'P3 Inputs'!I6)</f>
        <v>23589945.225000013</v>
      </c>
    </row>
    <row r="7" spans="1:11" ht="13.8" thickBot="1">
      <c r="A7" s="66" t="s">
        <v>168</v>
      </c>
      <c r="B7" s="156">
        <f>B6*'P3 Inputs'!B7</f>
        <v>4882500</v>
      </c>
      <c r="C7" s="156">
        <f>C6*'P3 Inputs'!C7</f>
        <v>6103125</v>
      </c>
      <c r="D7" s="156">
        <f>D6*'P3 Inputs'!D7</f>
        <v>7323750</v>
      </c>
      <c r="E7" s="156">
        <f>E6*'P3 Inputs'!E7</f>
        <v>8056125.0000000009</v>
      </c>
      <c r="F7" s="156">
        <f>F6*'P3 Inputs'!F7</f>
        <v>8861737.5000000019</v>
      </c>
      <c r="G7" s="156">
        <f>G6*'P3 Inputs'!G7</f>
        <v>9747911.2500000037</v>
      </c>
      <c r="H7" s="156">
        <f>H6*'P3 Inputs'!H7</f>
        <v>10722702.375000006</v>
      </c>
      <c r="I7" s="156">
        <f>I6*'P3 Inputs'!I7</f>
        <v>11794972.612500006</v>
      </c>
      <c r="J7" s="20"/>
    </row>
    <row r="8" spans="1:11">
      <c r="A8" t="s">
        <v>9</v>
      </c>
      <c r="B8" s="157"/>
      <c r="C8" s="155">
        <f>C6-C7</f>
        <v>6103125</v>
      </c>
      <c r="D8" s="155">
        <f t="shared" ref="D8:I8" si="0">D6-D7</f>
        <v>7323750</v>
      </c>
      <c r="E8" s="155">
        <f t="shared" si="0"/>
        <v>8056125.0000000009</v>
      </c>
      <c r="F8" s="155">
        <f t="shared" si="0"/>
        <v>8861737.5000000019</v>
      </c>
      <c r="G8" s="155">
        <f t="shared" si="0"/>
        <v>9747911.2500000037</v>
      </c>
      <c r="H8" s="155">
        <f t="shared" si="0"/>
        <v>10722702.375000006</v>
      </c>
      <c r="I8" s="155">
        <f t="shared" si="0"/>
        <v>11794972.612500006</v>
      </c>
    </row>
    <row r="9" spans="1:11">
      <c r="B9" s="158"/>
      <c r="C9" s="158"/>
      <c r="D9" s="158"/>
      <c r="E9" s="158"/>
      <c r="F9" s="157"/>
      <c r="G9" s="157"/>
      <c r="H9" s="120"/>
      <c r="I9" s="120"/>
      <c r="K9" s="16" t="s">
        <v>391</v>
      </c>
    </row>
    <row r="10" spans="1:11">
      <c r="A10" s="5" t="s">
        <v>164</v>
      </c>
      <c r="B10" s="159"/>
      <c r="C10" s="156">
        <f>C7*'P3 Inputs'!C16</f>
        <v>305156.25</v>
      </c>
      <c r="D10" s="156">
        <f>D7*'P3 Inputs'!D16</f>
        <v>366187.5</v>
      </c>
      <c r="E10" s="156">
        <f>E7*'P3 Inputs'!E16</f>
        <v>402806.25000000006</v>
      </c>
      <c r="F10" s="156">
        <f>F7*'P3 Inputs'!F16</f>
        <v>443086.87500000012</v>
      </c>
      <c r="G10" s="156">
        <f>G7*'P3 Inputs'!G16</f>
        <v>487395.56250000023</v>
      </c>
      <c r="H10" s="156">
        <f>H7*'P3 Inputs'!H16</f>
        <v>536135.11875000026</v>
      </c>
      <c r="I10" s="156">
        <f>I7*'P3 Inputs'!I16</f>
        <v>589748.63062500034</v>
      </c>
      <c r="J10" s="20"/>
    </row>
    <row r="11" spans="1:11" ht="13.8" thickBot="1">
      <c r="A11" s="66" t="s">
        <v>165</v>
      </c>
      <c r="B11" s="156">
        <f>B37*J11</f>
        <v>23200</v>
      </c>
      <c r="C11" s="156">
        <f>C37*J11</f>
        <v>42730</v>
      </c>
      <c r="D11" s="156">
        <f>D37*J11</f>
        <v>42730</v>
      </c>
      <c r="E11" s="156">
        <f>E37*J11</f>
        <v>42730</v>
      </c>
      <c r="F11" s="156">
        <f>F37*J11</f>
        <v>42730</v>
      </c>
      <c r="G11" s="156">
        <f>G37*J11</f>
        <v>42730</v>
      </c>
      <c r="H11" s="156">
        <f>H37*J11</f>
        <v>42730</v>
      </c>
      <c r="I11" s="156">
        <f>I37*J11</f>
        <v>42730</v>
      </c>
      <c r="J11" s="20">
        <v>0.02</v>
      </c>
      <c r="K11" t="s">
        <v>392</v>
      </c>
    </row>
    <row r="12" spans="1:11">
      <c r="A12" t="s">
        <v>0</v>
      </c>
      <c r="B12" s="157"/>
      <c r="C12" s="155">
        <f>C10-C11</f>
        <v>262426.25</v>
      </c>
      <c r="D12" s="155">
        <f>D10-D11</f>
        <v>323457.5</v>
      </c>
      <c r="E12" s="155">
        <f t="shared" ref="E12:I12" si="1">E10-E11</f>
        <v>360076.25000000006</v>
      </c>
      <c r="F12" s="155">
        <f t="shared" si="1"/>
        <v>400356.87500000012</v>
      </c>
      <c r="G12" s="155">
        <f t="shared" si="1"/>
        <v>444665.56250000023</v>
      </c>
      <c r="H12" s="155">
        <f t="shared" si="1"/>
        <v>493405.11875000026</v>
      </c>
      <c r="I12" s="155">
        <f t="shared" si="1"/>
        <v>547018.63062500034</v>
      </c>
    </row>
    <row r="13" spans="1:11">
      <c r="B13" s="157"/>
      <c r="C13" s="157"/>
      <c r="D13" s="157"/>
      <c r="E13" s="157"/>
      <c r="F13" s="157"/>
      <c r="G13" s="157"/>
      <c r="H13" s="157"/>
      <c r="I13" s="120"/>
    </row>
    <row r="14" spans="1:11">
      <c r="A14" s="5" t="s">
        <v>166</v>
      </c>
      <c r="B14" s="159"/>
      <c r="C14" s="156">
        <f ca="1">(C46+C49)*'P3 Inputs'!C9</f>
        <v>-698132.90961617825</v>
      </c>
      <c r="D14" s="156">
        <f ca="1">(D46+D49)*'P3 Inputs'!D9</f>
        <v>-773506.12682230526</v>
      </c>
      <c r="E14" s="156">
        <f ca="1">(E46+E49)*'P3 Inputs'!E9</f>
        <v>-846020.18966395513</v>
      </c>
      <c r="F14" s="156">
        <f ca="1">(F46+F49)*'P3 Inputs'!F9</f>
        <v>-921847.04205938417</v>
      </c>
      <c r="G14" s="156">
        <f ca="1">(G46+G49)*'P3 Inputs'!G9</f>
        <v>-1001192.7985032854</v>
      </c>
      <c r="H14" s="156">
        <f ca="1">(H46+H49)*'P3 Inputs'!H9</f>
        <v>-1084280.2073651315</v>
      </c>
      <c r="I14" s="156">
        <f ca="1">(I46+I49)*'P3 Inputs'!I9</f>
        <v>-1132143.1098716792</v>
      </c>
    </row>
    <row r="15" spans="1:11">
      <c r="A15" s="5"/>
      <c r="B15" s="159"/>
      <c r="C15" s="160"/>
      <c r="D15" s="161"/>
      <c r="E15" s="161"/>
      <c r="F15" s="161"/>
      <c r="G15" s="161"/>
      <c r="H15" s="161"/>
      <c r="I15" s="159"/>
    </row>
    <row r="16" spans="1:11">
      <c r="A16" s="5" t="s">
        <v>56</v>
      </c>
      <c r="B16" s="159"/>
      <c r="C16" s="162">
        <f t="shared" ref="C16:I16" ca="1" si="2">C12-C14</f>
        <v>960559.15961617825</v>
      </c>
      <c r="D16" s="156">
        <f t="shared" ca="1" si="2"/>
        <v>1096963.6268223054</v>
      </c>
      <c r="E16" s="156">
        <f t="shared" ca="1" si="2"/>
        <v>1206096.4396639552</v>
      </c>
      <c r="F16" s="156">
        <f t="shared" ca="1" si="2"/>
        <v>1322203.9170593843</v>
      </c>
      <c r="G16" s="156">
        <f t="shared" ca="1" si="2"/>
        <v>1445858.3610032857</v>
      </c>
      <c r="H16" s="156">
        <f t="shared" ca="1" si="2"/>
        <v>1577685.3261151318</v>
      </c>
      <c r="I16" s="156">
        <f t="shared" ca="1" si="2"/>
        <v>1679161.7404966797</v>
      </c>
    </row>
    <row r="17" spans="1:11" ht="13.8" thickBot="1">
      <c r="A17" s="3" t="s">
        <v>8</v>
      </c>
      <c r="B17" s="157"/>
      <c r="C17" s="163">
        <f ca="1">C16*'P3 Inputs'!C8</f>
        <v>192111.83192323567</v>
      </c>
      <c r="D17" s="163">
        <f ca="1">D16*'P3 Inputs'!D8</f>
        <v>219392.72536446108</v>
      </c>
      <c r="E17" s="163">
        <f ca="1">E16*'P3 Inputs'!E8</f>
        <v>241219.28793279105</v>
      </c>
      <c r="F17" s="163">
        <f ca="1">F16*'P3 Inputs'!F8</f>
        <v>264440.78341187688</v>
      </c>
      <c r="G17" s="163">
        <f ca="1">G16*'P3 Inputs'!G8</f>
        <v>289171.67220065714</v>
      </c>
      <c r="H17" s="163">
        <f ca="1">H16*'P3 Inputs'!H8</f>
        <v>315537.06522302638</v>
      </c>
      <c r="I17" s="163">
        <f ca="1">I16*'P3 Inputs'!I8</f>
        <v>335832.34809933597</v>
      </c>
    </row>
    <row r="18" spans="1:11">
      <c r="A18" s="21" t="s">
        <v>10</v>
      </c>
      <c r="B18" s="164"/>
      <c r="C18" s="165">
        <f ca="1">C16-C17</f>
        <v>768447.32769294258</v>
      </c>
      <c r="D18" s="165">
        <f t="shared" ref="D18:I18" ca="1" si="3">D16-D17</f>
        <v>877570.9014578443</v>
      </c>
      <c r="E18" s="165">
        <f t="shared" ca="1" si="3"/>
        <v>964877.15173116419</v>
      </c>
      <c r="F18" s="165">
        <f t="shared" ca="1" si="3"/>
        <v>1057763.1336475075</v>
      </c>
      <c r="G18" s="165">
        <f t="shared" ca="1" si="3"/>
        <v>1156686.6888026285</v>
      </c>
      <c r="H18" s="165">
        <f t="shared" ca="1" si="3"/>
        <v>1262148.2608921055</v>
      </c>
      <c r="I18" s="165">
        <f t="shared" ca="1" si="3"/>
        <v>1343329.3923973436</v>
      </c>
    </row>
    <row r="19" spans="1:11">
      <c r="B19" s="63"/>
      <c r="C19" s="63"/>
      <c r="D19" s="63"/>
      <c r="E19" s="63"/>
      <c r="F19" s="63"/>
      <c r="G19" s="63"/>
      <c r="H19" s="63"/>
      <c r="I19" s="63"/>
    </row>
    <row r="20" spans="1:11">
      <c r="A20" s="5" t="s">
        <v>167</v>
      </c>
      <c r="B20" s="68"/>
      <c r="C20" s="96">
        <f>'P3 Inputs'!B19</f>
        <v>10500000000</v>
      </c>
      <c r="D20" s="96">
        <f>C20</f>
        <v>10500000000</v>
      </c>
      <c r="E20" s="96">
        <f>C20</f>
        <v>10500000000</v>
      </c>
      <c r="F20" s="96">
        <f>C20</f>
        <v>10500000000</v>
      </c>
      <c r="G20" s="96">
        <f>C20</f>
        <v>10500000000</v>
      </c>
      <c r="H20" s="96">
        <f>C20</f>
        <v>10500000000</v>
      </c>
      <c r="I20" s="96">
        <f>C20</f>
        <v>10500000000</v>
      </c>
    </row>
    <row r="21" spans="1:11">
      <c r="A21" t="s">
        <v>4</v>
      </c>
      <c r="B21" s="63"/>
      <c r="C21" s="168">
        <f ca="1">C18/C20</f>
        <v>7.3185459780280239E-5</v>
      </c>
      <c r="D21" s="168">
        <f t="shared" ref="D21:I21" ca="1" si="4">D18/D20</f>
        <v>8.3578181091223267E-5</v>
      </c>
      <c r="E21" s="168">
        <f t="shared" ca="1" si="4"/>
        <v>9.1893062069634679E-5</v>
      </c>
      <c r="F21" s="168">
        <f t="shared" ca="1" si="4"/>
        <v>1.0073934606166739E-4</v>
      </c>
      <c r="G21" s="168">
        <f t="shared" ca="1" si="4"/>
        <v>1.1016063702882177E-4</v>
      </c>
      <c r="H21" s="168">
        <f t="shared" ca="1" si="4"/>
        <v>1.2020459627543861E-4</v>
      </c>
      <c r="I21" s="168">
        <f t="shared" ca="1" si="4"/>
        <v>1.2793613260927083E-4</v>
      </c>
    </row>
    <row r="22" spans="1:11">
      <c r="B22" s="62"/>
      <c r="C22" s="62"/>
      <c r="D22" s="62"/>
      <c r="E22" s="62"/>
      <c r="F22" s="62"/>
      <c r="G22" s="62"/>
      <c r="H22" s="62"/>
      <c r="I22" s="43"/>
    </row>
    <row r="23" spans="1:11">
      <c r="A23" s="67" t="s">
        <v>57</v>
      </c>
      <c r="B23" s="63"/>
      <c r="C23" s="64"/>
      <c r="D23" s="64"/>
      <c r="E23" s="64"/>
      <c r="F23" s="64"/>
      <c r="G23" s="64"/>
      <c r="H23" s="64"/>
      <c r="I23" s="43"/>
    </row>
    <row r="24" spans="1:11">
      <c r="A24" t="s">
        <v>2</v>
      </c>
      <c r="B24" s="65"/>
      <c r="C24" s="166">
        <f ca="1">C18*'P3 Inputs'!C11</f>
        <v>384223.66384647129</v>
      </c>
      <c r="D24" s="167">
        <f ca="1">D18*'P3 Inputs'!D11</f>
        <v>438785.45072892215</v>
      </c>
      <c r="E24" s="167">
        <f ca="1">E18*'P3 Inputs'!E11</f>
        <v>482438.5758655821</v>
      </c>
      <c r="F24" s="167">
        <f ca="1">F18*'P3 Inputs'!F11</f>
        <v>528881.56682375376</v>
      </c>
      <c r="G24" s="167">
        <f ca="1">G18*'P3 Inputs'!G11</f>
        <v>578343.34440131427</v>
      </c>
      <c r="H24" s="167">
        <f ca="1">H18*'P3 Inputs'!H11</f>
        <v>631074.13044605276</v>
      </c>
      <c r="I24" s="167">
        <f ca="1">I18*'P3 Inputs'!I11</f>
        <v>671664.69619867182</v>
      </c>
    </row>
    <row r="25" spans="1:11">
      <c r="A25" s="5" t="s">
        <v>170</v>
      </c>
      <c r="B25" s="63"/>
      <c r="C25" s="155">
        <f t="shared" ref="C25:I25" ca="1" si="5">C18-C24</f>
        <v>384223.66384647129</v>
      </c>
      <c r="D25" s="155">
        <f t="shared" ca="1" si="5"/>
        <v>438785.45072892215</v>
      </c>
      <c r="E25" s="155">
        <f t="shared" ca="1" si="5"/>
        <v>482438.5758655821</v>
      </c>
      <c r="F25" s="155">
        <f t="shared" ca="1" si="5"/>
        <v>528881.56682375376</v>
      </c>
      <c r="G25" s="155">
        <f t="shared" ca="1" si="5"/>
        <v>578343.34440131427</v>
      </c>
      <c r="H25" s="155">
        <f t="shared" ca="1" si="5"/>
        <v>631074.13044605276</v>
      </c>
      <c r="I25" s="155">
        <f t="shared" ca="1" si="5"/>
        <v>671664.69619867182</v>
      </c>
    </row>
    <row r="26" spans="1:11">
      <c r="A26" s="5"/>
      <c r="B26" s="63"/>
      <c r="C26" s="63"/>
      <c r="D26" s="63"/>
      <c r="E26" s="63"/>
      <c r="F26" s="63"/>
      <c r="G26" s="63"/>
      <c r="H26" s="63"/>
      <c r="I26" s="63"/>
    </row>
    <row r="27" spans="1:11">
      <c r="B27" s="43"/>
      <c r="C27" s="43"/>
      <c r="D27" s="43"/>
      <c r="E27" s="43"/>
      <c r="F27" s="43"/>
      <c r="G27" s="43"/>
      <c r="H27" s="43"/>
      <c r="I27" s="43"/>
    </row>
    <row r="28" spans="1:11">
      <c r="B28" s="16" t="s">
        <v>133</v>
      </c>
      <c r="C28" s="16" t="s">
        <v>49</v>
      </c>
      <c r="D28" s="16" t="s">
        <v>50</v>
      </c>
      <c r="E28" s="16" t="s">
        <v>51</v>
      </c>
      <c r="F28" s="16" t="s">
        <v>52</v>
      </c>
      <c r="G28" s="16" t="s">
        <v>53</v>
      </c>
      <c r="H28" s="16" t="s">
        <v>54</v>
      </c>
      <c r="I28" s="16" t="s">
        <v>55</v>
      </c>
    </row>
    <row r="29" spans="1:11" ht="15.6">
      <c r="A29" s="15" t="s">
        <v>278</v>
      </c>
      <c r="B29" s="8"/>
      <c r="C29" s="14"/>
      <c r="D29" s="14"/>
      <c r="E29" s="14"/>
      <c r="F29" s="14"/>
      <c r="G29" s="14"/>
      <c r="H29" s="14"/>
    </row>
    <row r="30" spans="1:11">
      <c r="A30" s="2" t="s">
        <v>47</v>
      </c>
      <c r="B30" s="8"/>
      <c r="C30" s="12"/>
      <c r="D30" s="12"/>
      <c r="E30" s="12"/>
      <c r="F30" s="12"/>
      <c r="G30" s="12"/>
      <c r="H30" s="12"/>
    </row>
    <row r="31" spans="1:11">
      <c r="A31" s="5" t="s">
        <v>11</v>
      </c>
      <c r="B31" s="4"/>
      <c r="C31" s="4"/>
      <c r="D31" s="4"/>
      <c r="E31" s="4"/>
      <c r="F31" s="4"/>
      <c r="G31" s="4"/>
      <c r="H31" s="4"/>
    </row>
    <row r="32" spans="1:11">
      <c r="A32" s="22" t="s">
        <v>175</v>
      </c>
      <c r="B32" s="169">
        <f>'P2 History'!E24</f>
        <v>1130000</v>
      </c>
      <c r="C32" s="169">
        <f>B32*(1+'P3 Inputs'!C22)</f>
        <v>1243000</v>
      </c>
      <c r="D32" s="169">
        <f>C32*(1+'P3 Inputs'!D22)</f>
        <v>1367300</v>
      </c>
      <c r="E32" s="169">
        <f>D32*(1+'P3 Inputs'!E22)</f>
        <v>1504030.0000000002</v>
      </c>
      <c r="F32" s="169">
        <f>E32*(1+'P3 Inputs'!F22)</f>
        <v>1654433.0000000005</v>
      </c>
      <c r="G32" s="169">
        <f>F32*(1+'P3 Inputs'!G22)</f>
        <v>1819876.3000000007</v>
      </c>
      <c r="H32" s="169">
        <f>G32*(1+'P3 Inputs'!H22)</f>
        <v>2001863.9300000009</v>
      </c>
      <c r="I32" s="169">
        <f>H32*(1+'P3 Inputs'!I22)</f>
        <v>2202050.3230000013</v>
      </c>
      <c r="K32" s="43"/>
    </row>
    <row r="33" spans="1:11">
      <c r="A33" s="22" t="s">
        <v>177</v>
      </c>
      <c r="B33" s="170"/>
      <c r="C33" s="171">
        <f>B33*(1+'P3 Inputs'!C23)</f>
        <v>0</v>
      </c>
      <c r="D33" s="171">
        <f>C33*(1+'P3 Inputs'!D23)</f>
        <v>0</v>
      </c>
      <c r="E33" s="171">
        <f>D33*(1+'P3 Inputs'!E23)</f>
        <v>0</v>
      </c>
      <c r="F33" s="171">
        <f>E33*(1+'P3 Inputs'!F23)</f>
        <v>0</v>
      </c>
      <c r="G33" s="171">
        <f>F33*(1+'P3 Inputs'!G23)</f>
        <v>0</v>
      </c>
      <c r="H33" s="171">
        <f>G33*(1+'P3 Inputs'!H23)</f>
        <v>0</v>
      </c>
      <c r="I33" s="171">
        <f>H33*(1+'P3 Inputs'!I23)</f>
        <v>0</v>
      </c>
      <c r="K33" s="43"/>
    </row>
    <row r="34" spans="1:11" ht="13.8" thickBot="1">
      <c r="A34" s="71" t="s">
        <v>176</v>
      </c>
      <c r="B34" s="170"/>
      <c r="C34" s="172">
        <f>B34*(1+'P3 Inputs'!C24)</f>
        <v>0</v>
      </c>
      <c r="D34" s="172">
        <f>C34*(1+'P3 Inputs'!D24)</f>
        <v>0</v>
      </c>
      <c r="E34" s="172">
        <f>D34*(1+'P3 Inputs'!E24)</f>
        <v>0</v>
      </c>
      <c r="F34" s="172">
        <f>E34*(1+'P3 Inputs'!F24)</f>
        <v>0</v>
      </c>
      <c r="G34" s="172">
        <f>F34*(1+'P3 Inputs'!G24)</f>
        <v>0</v>
      </c>
      <c r="H34" s="172">
        <f>G34*(1+'P3 Inputs'!H24)</f>
        <v>0</v>
      </c>
      <c r="I34" s="172">
        <f>H34*(1+'P3 Inputs'!I24)</f>
        <v>0</v>
      </c>
      <c r="K34" s="43"/>
    </row>
    <row r="35" spans="1:11">
      <c r="A35" t="s">
        <v>12</v>
      </c>
      <c r="B35" s="169">
        <f>SUM(B32:B34)</f>
        <v>1130000</v>
      </c>
      <c r="C35" s="169">
        <f t="shared" ref="C35:I35" si="6">SUM(C32:C34)</f>
        <v>1243000</v>
      </c>
      <c r="D35" s="169">
        <f t="shared" si="6"/>
        <v>1367300</v>
      </c>
      <c r="E35" s="169">
        <f t="shared" si="6"/>
        <v>1504030.0000000002</v>
      </c>
      <c r="F35" s="169">
        <f t="shared" si="6"/>
        <v>1654433.0000000005</v>
      </c>
      <c r="G35" s="169">
        <f t="shared" si="6"/>
        <v>1819876.3000000007</v>
      </c>
      <c r="H35" s="169">
        <f t="shared" si="6"/>
        <v>2001863.9300000009</v>
      </c>
      <c r="I35" s="169">
        <f t="shared" si="6"/>
        <v>2202050.3230000013</v>
      </c>
      <c r="K35" s="43"/>
    </row>
    <row r="36" spans="1:11">
      <c r="B36" s="173"/>
      <c r="C36" s="173"/>
      <c r="D36" s="174"/>
      <c r="E36" s="174"/>
      <c r="F36" s="174"/>
      <c r="G36" s="174"/>
      <c r="H36" s="174"/>
      <c r="I36" s="175"/>
      <c r="K36" s="43"/>
    </row>
    <row r="37" spans="1:11">
      <c r="A37" s="5" t="s">
        <v>178</v>
      </c>
      <c r="B37" s="176">
        <f>'P3 Inputs'!B30</f>
        <v>1160000</v>
      </c>
      <c r="C37" s="176">
        <f>B37+'P5 Cost of capital'!B5</f>
        <v>2136500</v>
      </c>
      <c r="D37" s="176">
        <f t="shared" ref="D37:I37" si="7">C37</f>
        <v>2136500</v>
      </c>
      <c r="E37" s="176">
        <f t="shared" si="7"/>
        <v>2136500</v>
      </c>
      <c r="F37" s="176">
        <f t="shared" si="7"/>
        <v>2136500</v>
      </c>
      <c r="G37" s="176">
        <f t="shared" si="7"/>
        <v>2136500</v>
      </c>
      <c r="H37" s="176">
        <f t="shared" si="7"/>
        <v>2136500</v>
      </c>
      <c r="I37" s="176">
        <f t="shared" si="7"/>
        <v>2136500</v>
      </c>
      <c r="J37" s="20"/>
      <c r="K37" s="43"/>
    </row>
    <row r="38" spans="1:11" ht="13.8" thickBot="1">
      <c r="A38" s="3" t="s">
        <v>13</v>
      </c>
      <c r="B38" s="154"/>
      <c r="C38" s="169">
        <f>'P4 Assets amortization'!C13</f>
        <v>847500</v>
      </c>
      <c r="D38" s="169">
        <f>'P4 Assets amortization'!D13</f>
        <v>1341000</v>
      </c>
      <c r="E38" s="169">
        <f>'P4 Assets amortization'!E13</f>
        <v>1834500</v>
      </c>
      <c r="F38" s="169">
        <f>'P4 Assets amortization'!F13</f>
        <v>2328000</v>
      </c>
      <c r="G38" s="169">
        <f>'P4 Assets amortization'!G13</f>
        <v>2821500</v>
      </c>
      <c r="H38" s="169">
        <f>'P4 Assets amortization'!H13</f>
        <v>3315000</v>
      </c>
      <c r="I38" s="169">
        <f>'P4 Assets amortization'!I13</f>
        <v>3315000</v>
      </c>
      <c r="K38" s="43"/>
    </row>
    <row r="39" spans="1:11">
      <c r="A39" t="s">
        <v>14</v>
      </c>
      <c r="B39" s="177">
        <f>B37-B38</f>
        <v>1160000</v>
      </c>
      <c r="C39" s="178">
        <f t="shared" ref="C39:I39" si="8">C37-C38</f>
        <v>1289000</v>
      </c>
      <c r="D39" s="178">
        <f t="shared" si="8"/>
        <v>795500</v>
      </c>
      <c r="E39" s="178">
        <f>E37-E38</f>
        <v>302000</v>
      </c>
      <c r="F39" s="178">
        <f>F37-F38</f>
        <v>-191500</v>
      </c>
      <c r="G39" s="178">
        <f t="shared" si="8"/>
        <v>-685000</v>
      </c>
      <c r="H39" s="178">
        <f t="shared" si="8"/>
        <v>-1178500</v>
      </c>
      <c r="I39" s="178">
        <f t="shared" si="8"/>
        <v>-1178500</v>
      </c>
      <c r="K39" s="43"/>
    </row>
    <row r="40" spans="1:11" ht="13.8" thickBot="1">
      <c r="B40" s="173"/>
      <c r="C40" s="173"/>
      <c r="D40" s="173"/>
      <c r="E40" s="173"/>
      <c r="F40" s="174"/>
      <c r="G40" s="174"/>
      <c r="H40" s="174"/>
      <c r="I40" s="175"/>
      <c r="K40" s="43"/>
    </row>
    <row r="41" spans="1:11" ht="13.8" thickBot="1">
      <c r="A41" s="58" t="s">
        <v>15</v>
      </c>
      <c r="B41" s="179">
        <f>'P2 History'!E37</f>
        <v>14963000</v>
      </c>
      <c r="C41" s="180">
        <f t="shared" ref="C41:I41" si="9">C35+C39</f>
        <v>2532000</v>
      </c>
      <c r="D41" s="180">
        <f t="shared" si="9"/>
        <v>2162800</v>
      </c>
      <c r="E41" s="180">
        <f t="shared" si="9"/>
        <v>1806030.0000000002</v>
      </c>
      <c r="F41" s="180">
        <f t="shared" si="9"/>
        <v>1462933.0000000005</v>
      </c>
      <c r="G41" s="180">
        <f t="shared" si="9"/>
        <v>1134876.3000000007</v>
      </c>
      <c r="H41" s="180">
        <f t="shared" si="9"/>
        <v>823363.93000000087</v>
      </c>
      <c r="I41" s="181">
        <f t="shared" si="9"/>
        <v>1023550.3230000013</v>
      </c>
      <c r="K41" s="43"/>
    </row>
    <row r="42" spans="1:11">
      <c r="B42" s="174"/>
      <c r="C42" s="174"/>
      <c r="D42" s="174"/>
      <c r="E42" s="174"/>
      <c r="F42" s="174"/>
      <c r="G42" s="174"/>
      <c r="H42" s="174"/>
      <c r="I42" s="175"/>
      <c r="K42" s="43"/>
    </row>
    <row r="43" spans="1:11">
      <c r="A43" s="2" t="s">
        <v>16</v>
      </c>
      <c r="B43" s="173"/>
      <c r="C43" s="173"/>
      <c r="D43" s="173"/>
      <c r="E43" s="173"/>
      <c r="F43" s="173"/>
      <c r="G43" s="173"/>
      <c r="H43" s="173"/>
      <c r="I43" s="175"/>
      <c r="K43" s="43"/>
    </row>
    <row r="44" spans="1:11">
      <c r="A44" t="s">
        <v>17</v>
      </c>
      <c r="B44" s="174"/>
      <c r="C44" s="174"/>
      <c r="D44" s="174"/>
      <c r="E44" s="174"/>
      <c r="F44" s="175"/>
      <c r="G44" s="175"/>
      <c r="H44" s="175"/>
      <c r="I44" s="175"/>
      <c r="K44" s="43"/>
    </row>
    <row r="45" spans="1:11">
      <c r="A45" s="22" t="s">
        <v>179</v>
      </c>
      <c r="B45" s="182"/>
      <c r="C45" s="176">
        <f>C7*'P3 Inputs'!C26</f>
        <v>854437.50000000012</v>
      </c>
      <c r="D45" s="176">
        <f>D7*'P3 Inputs'!D26</f>
        <v>1025325.0000000001</v>
      </c>
      <c r="E45" s="176">
        <f>E7*'P3 Inputs'!E26</f>
        <v>1127857.5000000002</v>
      </c>
      <c r="F45" s="176">
        <f>F7*'P3 Inputs'!F26</f>
        <v>1240643.2500000005</v>
      </c>
      <c r="G45" s="176">
        <f>G7*'P3 Inputs'!G26</f>
        <v>1364707.5750000007</v>
      </c>
      <c r="H45" s="176">
        <f>H7*'P3 Inputs'!H26</f>
        <v>1501178.3325000009</v>
      </c>
      <c r="I45" s="176">
        <f>I7*'P3 Inputs'!I26</f>
        <v>1651296.1657500011</v>
      </c>
      <c r="K45" s="43"/>
    </row>
    <row r="46" spans="1:11" ht="13.8" thickBot="1">
      <c r="A46" s="71" t="s">
        <v>180</v>
      </c>
      <c r="B46" s="183"/>
      <c r="C46" s="169">
        <f>C7*'P3 Inputs'!C27</f>
        <v>122062.5</v>
      </c>
      <c r="D46" s="169">
        <f>D7*'P3 Inputs'!D27</f>
        <v>146475</v>
      </c>
      <c r="E46" s="169">
        <f>E7*'P3 Inputs'!E27</f>
        <v>161122.50000000003</v>
      </c>
      <c r="F46" s="169">
        <f>F7*'P3 Inputs'!F27</f>
        <v>177234.75000000003</v>
      </c>
      <c r="G46" s="169">
        <f>G7*'P3 Inputs'!G27</f>
        <v>194958.22500000006</v>
      </c>
      <c r="H46" s="169">
        <f>H7*'P3 Inputs'!H27</f>
        <v>214454.0475000001</v>
      </c>
      <c r="I46" s="169">
        <f>I7*'P3 Inputs'!I27</f>
        <v>235899.45225000012</v>
      </c>
      <c r="K46" s="43"/>
    </row>
    <row r="47" spans="1:11">
      <c r="A47" t="s">
        <v>18</v>
      </c>
      <c r="B47" s="173"/>
      <c r="C47" s="177">
        <f>C45+C46</f>
        <v>976500.00000000012</v>
      </c>
      <c r="D47" s="177">
        <f t="shared" ref="D47:I47" si="10">D45+D46</f>
        <v>1171800</v>
      </c>
      <c r="E47" s="177">
        <f t="shared" si="10"/>
        <v>1288980.0000000002</v>
      </c>
      <c r="F47" s="177">
        <f t="shared" si="10"/>
        <v>1417878.0000000005</v>
      </c>
      <c r="G47" s="177">
        <f t="shared" si="10"/>
        <v>1559665.8000000007</v>
      </c>
      <c r="H47" s="177">
        <f t="shared" si="10"/>
        <v>1715632.3800000011</v>
      </c>
      <c r="I47" s="177">
        <f t="shared" si="10"/>
        <v>1887195.6180000012</v>
      </c>
      <c r="K47" s="43"/>
    </row>
    <row r="48" spans="1:11">
      <c r="B48" s="174"/>
      <c r="C48" s="174"/>
      <c r="D48" s="174"/>
      <c r="E48" s="174"/>
      <c r="F48" s="174"/>
      <c r="G48" s="174"/>
      <c r="H48" s="174"/>
      <c r="I48" s="175"/>
      <c r="K48" s="43"/>
    </row>
    <row r="49" spans="1:11" ht="13.8" thickBot="1">
      <c r="A49" s="3" t="s">
        <v>19</v>
      </c>
      <c r="B49" s="169">
        <f>B50-B47</f>
        <v>5628000</v>
      </c>
      <c r="C49" s="169">
        <f ca="1">C50-C47</f>
        <v>-9188723.6638464704</v>
      </c>
      <c r="D49" s="169">
        <f ca="1">D50-D47</f>
        <v>-10192009.114575393</v>
      </c>
      <c r="E49" s="169">
        <f t="shared" ref="E49:I49" ca="1" si="11">E50-E47</f>
        <v>-11148397.690440975</v>
      </c>
      <c r="F49" s="169">
        <f t="shared" ca="1" si="11"/>
        <v>-12149274.25726473</v>
      </c>
      <c r="G49" s="169">
        <f t="shared" ca="1" si="11"/>
        <v>-13197462.101666044</v>
      </c>
      <c r="H49" s="169">
        <f t="shared" ca="1" si="11"/>
        <v>-14296015.182112096</v>
      </c>
      <c r="I49" s="169">
        <f t="shared" ca="1" si="11"/>
        <v>-14939056.723310769</v>
      </c>
      <c r="K49" s="43"/>
    </row>
    <row r="50" spans="1:11">
      <c r="A50" t="s">
        <v>48</v>
      </c>
      <c r="B50" s="178">
        <f>B57-B55</f>
        <v>5628000</v>
      </c>
      <c r="C50" s="178">
        <f t="shared" ref="C50:I50" ca="1" si="12">C57-C55</f>
        <v>-8212223.6638464704</v>
      </c>
      <c r="D50" s="178">
        <f t="shared" ca="1" si="12"/>
        <v>-9020209.1145753935</v>
      </c>
      <c r="E50" s="178">
        <f t="shared" ca="1" si="12"/>
        <v>-9859417.6904409751</v>
      </c>
      <c r="F50" s="178">
        <f t="shared" ca="1" si="12"/>
        <v>-10731396.25726473</v>
      </c>
      <c r="G50" s="178">
        <f t="shared" ca="1" si="12"/>
        <v>-11637796.301666044</v>
      </c>
      <c r="H50" s="178">
        <f t="shared" ca="1" si="12"/>
        <v>-12580382.802112095</v>
      </c>
      <c r="I50" s="178">
        <f t="shared" ca="1" si="12"/>
        <v>-13051861.105310768</v>
      </c>
      <c r="K50" s="43"/>
    </row>
    <row r="51" spans="1:11">
      <c r="B51" s="184"/>
      <c r="C51" s="184"/>
      <c r="D51" s="184"/>
      <c r="E51" s="184"/>
      <c r="F51" s="184"/>
      <c r="G51" s="184"/>
      <c r="H51" s="184"/>
      <c r="I51" s="185"/>
      <c r="K51" s="43"/>
    </row>
    <row r="52" spans="1:11">
      <c r="A52" t="s">
        <v>20</v>
      </c>
      <c r="B52" s="186"/>
      <c r="C52" s="186"/>
      <c r="D52" s="186"/>
      <c r="E52" s="186"/>
      <c r="F52" s="186"/>
      <c r="G52" s="186"/>
      <c r="H52" s="186"/>
      <c r="I52" s="185"/>
      <c r="K52" s="43"/>
    </row>
    <row r="53" spans="1:11">
      <c r="A53" s="13" t="s">
        <v>21</v>
      </c>
      <c r="B53" s="169">
        <f>'P3 Inputs'!B28</f>
        <v>9335000</v>
      </c>
      <c r="C53" s="169">
        <f>B53+'P5 Cost of capital'!B32</f>
        <v>9660500</v>
      </c>
      <c r="D53" s="169">
        <f t="shared" ref="D53:I53" si="13">C53</f>
        <v>9660500</v>
      </c>
      <c r="E53" s="169">
        <f t="shared" si="13"/>
        <v>9660500</v>
      </c>
      <c r="F53" s="169">
        <f t="shared" si="13"/>
        <v>9660500</v>
      </c>
      <c r="G53" s="169">
        <f t="shared" si="13"/>
        <v>9660500</v>
      </c>
      <c r="H53" s="169">
        <f t="shared" si="13"/>
        <v>9660500</v>
      </c>
      <c r="I53" s="169">
        <f t="shared" si="13"/>
        <v>9660500</v>
      </c>
      <c r="K53" s="43"/>
    </row>
    <row r="54" spans="1:11" ht="13.8" thickBot="1">
      <c r="A54" s="71" t="s">
        <v>183</v>
      </c>
      <c r="B54" s="169">
        <f>'P3 Inputs'!B17-'P5 Cost of capital'!B37</f>
        <v>699500</v>
      </c>
      <c r="C54" s="169">
        <f t="shared" ref="C54:I54" ca="1" si="14">B54+C25</f>
        <v>1083723.6638464713</v>
      </c>
      <c r="D54" s="169">
        <f t="shared" ca="1" si="14"/>
        <v>1522509.1145753935</v>
      </c>
      <c r="E54" s="169">
        <f t="shared" ca="1" si="14"/>
        <v>2004947.6904409756</v>
      </c>
      <c r="F54" s="169">
        <f t="shared" ca="1" si="14"/>
        <v>2533829.2572647296</v>
      </c>
      <c r="G54" s="169">
        <f t="shared" ca="1" si="14"/>
        <v>3112172.601666044</v>
      </c>
      <c r="H54" s="169">
        <f t="shared" ca="1" si="14"/>
        <v>3743246.7321120966</v>
      </c>
      <c r="I54" s="169">
        <f t="shared" ca="1" si="14"/>
        <v>4414911.4283107687</v>
      </c>
      <c r="K54" s="43"/>
    </row>
    <row r="55" spans="1:11">
      <c r="A55" t="s">
        <v>22</v>
      </c>
      <c r="B55" s="169">
        <f>B53</f>
        <v>9335000</v>
      </c>
      <c r="C55" s="169">
        <f t="shared" ref="C55:I55" ca="1" si="15">C53+C54</f>
        <v>10744223.66384647</v>
      </c>
      <c r="D55" s="169">
        <f t="shared" ca="1" si="15"/>
        <v>11183009.114575393</v>
      </c>
      <c r="E55" s="169">
        <f t="shared" ca="1" si="15"/>
        <v>11665447.690440975</v>
      </c>
      <c r="F55" s="169">
        <f t="shared" ca="1" si="15"/>
        <v>12194329.25726473</v>
      </c>
      <c r="G55" s="169">
        <f t="shared" ca="1" si="15"/>
        <v>12772672.601666044</v>
      </c>
      <c r="H55" s="169">
        <f t="shared" ca="1" si="15"/>
        <v>13403746.732112097</v>
      </c>
      <c r="I55" s="169">
        <f t="shared" ca="1" si="15"/>
        <v>14075411.428310769</v>
      </c>
      <c r="K55" s="43"/>
    </row>
    <row r="56" spans="1:11" ht="13.8" thickBot="1">
      <c r="B56" s="173"/>
      <c r="C56" s="174"/>
      <c r="D56" s="174"/>
      <c r="E56" s="174"/>
      <c r="F56" s="174"/>
      <c r="G56" s="174"/>
      <c r="H56" s="174"/>
      <c r="I56" s="175"/>
      <c r="K56" s="43"/>
    </row>
    <row r="57" spans="1:11" ht="13.8" thickBot="1">
      <c r="A57" s="58" t="s">
        <v>23</v>
      </c>
      <c r="B57" s="179">
        <f t="shared" ref="B57:I57" si="16">B41</f>
        <v>14963000</v>
      </c>
      <c r="C57" s="179">
        <f t="shared" si="16"/>
        <v>2532000</v>
      </c>
      <c r="D57" s="179">
        <f t="shared" si="16"/>
        <v>2162800</v>
      </c>
      <c r="E57" s="179">
        <f t="shared" si="16"/>
        <v>1806030.0000000002</v>
      </c>
      <c r="F57" s="179">
        <f t="shared" si="16"/>
        <v>1462933.0000000005</v>
      </c>
      <c r="G57" s="179">
        <f t="shared" si="16"/>
        <v>1134876.3000000007</v>
      </c>
      <c r="H57" s="179">
        <f t="shared" si="16"/>
        <v>823363.93000000087</v>
      </c>
      <c r="I57" s="187">
        <f t="shared" si="16"/>
        <v>1023550.3230000013</v>
      </c>
      <c r="K57" s="43"/>
    </row>
    <row r="58" spans="1:11">
      <c r="B58" s="63"/>
      <c r="C58" s="63"/>
      <c r="D58" s="63"/>
      <c r="E58" s="63"/>
      <c r="F58" s="63"/>
      <c r="G58" s="63"/>
      <c r="H58" s="63"/>
      <c r="I58" s="43"/>
    </row>
    <row r="59" spans="1:11">
      <c r="A59" s="5" t="s">
        <v>58</v>
      </c>
      <c r="B59" s="75" t="str">
        <f t="shared" ref="B59:I59" si="17">IF((B41=B57),"OK","NOT OK")</f>
        <v>OK</v>
      </c>
      <c r="C59" s="75" t="str">
        <f t="shared" si="17"/>
        <v>OK</v>
      </c>
      <c r="D59" s="75" t="str">
        <f t="shared" si="17"/>
        <v>OK</v>
      </c>
      <c r="E59" s="75" t="str">
        <f t="shared" si="17"/>
        <v>OK</v>
      </c>
      <c r="F59" s="75" t="str">
        <f t="shared" si="17"/>
        <v>OK</v>
      </c>
      <c r="G59" s="75" t="str">
        <f t="shared" si="17"/>
        <v>OK</v>
      </c>
      <c r="H59" s="75" t="str">
        <f t="shared" si="17"/>
        <v>OK</v>
      </c>
      <c r="I59" s="75" t="str">
        <f t="shared" si="17"/>
        <v>OK</v>
      </c>
    </row>
    <row r="60" spans="1:11">
      <c r="B60" s="63"/>
      <c r="C60" s="63"/>
      <c r="D60" s="62"/>
      <c r="E60" s="62"/>
      <c r="F60" s="62"/>
      <c r="G60" s="62"/>
      <c r="H60" s="62"/>
      <c r="I60" s="43"/>
    </row>
    <row r="61" spans="1:11">
      <c r="B61" s="120"/>
      <c r="C61" s="120"/>
      <c r="D61" s="120"/>
      <c r="E61" s="120"/>
      <c r="F61" s="120"/>
      <c r="G61" s="120"/>
      <c r="H61" s="120"/>
      <c r="I61" s="120"/>
    </row>
    <row r="63" spans="1:11">
      <c r="B63" s="43"/>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5"/>
  <sheetViews>
    <sheetView workbookViewId="0"/>
  </sheetViews>
  <sheetFormatPr defaultRowHeight="13.2"/>
  <cols>
    <col min="1" max="1" width="36.88671875" customWidth="1"/>
    <col min="3" max="3" width="13" bestFit="1" customWidth="1"/>
    <col min="4" max="9" width="12.21875" customWidth="1"/>
  </cols>
  <sheetData>
    <row r="1" spans="1:9" ht="21">
      <c r="B1" s="34" t="s">
        <v>184</v>
      </c>
      <c r="G1" s="90" t="s">
        <v>265</v>
      </c>
      <c r="H1" s="91">
        <v>10</v>
      </c>
    </row>
    <row r="2" spans="1:9" ht="14.4">
      <c r="A2" s="85" t="s">
        <v>225</v>
      </c>
    </row>
    <row r="3" spans="1:9">
      <c r="B3" s="16" t="s">
        <v>133</v>
      </c>
      <c r="C3" s="16" t="s">
        <v>49</v>
      </c>
      <c r="D3" s="16" t="s">
        <v>50</v>
      </c>
      <c r="E3" s="16" t="s">
        <v>51</v>
      </c>
      <c r="F3" s="16" t="s">
        <v>52</v>
      </c>
      <c r="G3" s="16" t="s">
        <v>53</v>
      </c>
      <c r="H3" s="16" t="s">
        <v>54</v>
      </c>
      <c r="I3" s="16" t="s">
        <v>55</v>
      </c>
    </row>
    <row r="4" spans="1:9" ht="15.6">
      <c r="A4" s="15" t="s">
        <v>185</v>
      </c>
      <c r="B4" s="8"/>
      <c r="C4" s="8"/>
      <c r="D4" s="8"/>
      <c r="E4" s="8"/>
      <c r="F4" s="8"/>
      <c r="G4" s="8"/>
      <c r="H4" s="8"/>
    </row>
    <row r="5" spans="1:9">
      <c r="A5" t="s">
        <v>24</v>
      </c>
      <c r="B5" s="10"/>
      <c r="C5" s="10"/>
      <c r="D5" s="10"/>
      <c r="E5" s="10"/>
      <c r="F5" s="10"/>
      <c r="G5" s="10"/>
      <c r="H5" s="10"/>
    </row>
    <row r="6" spans="1:9">
      <c r="A6" t="s">
        <v>25</v>
      </c>
      <c r="B6" s="10"/>
      <c r="C6" s="177"/>
      <c r="D6" s="177">
        <f ca="1">'P6 P&amp;L and BS Projection'!D18</f>
        <v>877570.9014578443</v>
      </c>
      <c r="E6" s="177">
        <f ca="1">'P6 P&amp;L and BS Projection'!E18</f>
        <v>964877.15173116419</v>
      </c>
      <c r="F6" s="177">
        <f ca="1">'P6 P&amp;L and BS Projection'!F18</f>
        <v>1057763.1336475075</v>
      </c>
      <c r="G6" s="177">
        <f ca="1">'P6 P&amp;L and BS Projection'!G18</f>
        <v>1156686.6888026285</v>
      </c>
      <c r="H6" s="177">
        <f ca="1">'P6 P&amp;L and BS Projection'!H18</f>
        <v>1262148.2608921055</v>
      </c>
      <c r="I6" s="177">
        <f ca="1">'P6 P&amp;L and BS Projection'!I18</f>
        <v>1343329.3923973436</v>
      </c>
    </row>
    <row r="7" spans="1:9">
      <c r="A7" s="9" t="s">
        <v>26</v>
      </c>
      <c r="B7" s="10"/>
      <c r="C7" s="177"/>
      <c r="D7" s="177">
        <f>'P6 P&amp;L and BS Projection'!D38-'P6 P&amp;L and BS Projection'!C38</f>
        <v>493500</v>
      </c>
      <c r="E7" s="177">
        <f>'P6 P&amp;L and BS Projection'!E38-'P6 P&amp;L and BS Projection'!D38</f>
        <v>493500</v>
      </c>
      <c r="F7" s="177">
        <f>'P6 P&amp;L and BS Projection'!F38-'P6 P&amp;L and BS Projection'!E38</f>
        <v>493500</v>
      </c>
      <c r="G7" s="177">
        <f>'P6 P&amp;L and BS Projection'!G38-'P6 P&amp;L and BS Projection'!F38</f>
        <v>493500</v>
      </c>
      <c r="H7" s="177">
        <f>'P6 P&amp;L and BS Projection'!H38-'P6 P&amp;L and BS Projection'!G38</f>
        <v>493500</v>
      </c>
      <c r="I7" s="177">
        <f>'P6 P&amp;L and BS Projection'!I38-'P6 P&amp;L and BS Projection'!H38</f>
        <v>0</v>
      </c>
    </row>
    <row r="8" spans="1:9">
      <c r="A8" s="9" t="s">
        <v>27</v>
      </c>
      <c r="B8" s="10"/>
      <c r="C8" s="177"/>
      <c r="D8" s="177">
        <f>-('P6 P&amp;L and BS Projection'!D33-'P6 P&amp;L and BS Projection'!C33)</f>
        <v>0</v>
      </c>
      <c r="E8" s="177">
        <f>-('P6 P&amp;L and BS Projection'!E33-'P6 P&amp;L and BS Projection'!D33)</f>
        <v>0</v>
      </c>
      <c r="F8" s="177">
        <f>-('P6 P&amp;L and BS Projection'!F33-'P6 P&amp;L and BS Projection'!E33)</f>
        <v>0</v>
      </c>
      <c r="G8" s="177">
        <f>-('P6 P&amp;L and BS Projection'!G33-'P6 P&amp;L and BS Projection'!F33)</f>
        <v>0</v>
      </c>
      <c r="H8" s="177">
        <f>-('P6 P&amp;L and BS Projection'!H33-'P6 P&amp;L and BS Projection'!G33)</f>
        <v>0</v>
      </c>
      <c r="I8" s="177">
        <f>-('P6 P&amp;L and BS Projection'!I33-'P6 P&amp;L and BS Projection'!H33)</f>
        <v>0</v>
      </c>
    </row>
    <row r="9" spans="1:9">
      <c r="A9" s="9" t="s">
        <v>28</v>
      </c>
      <c r="B9" s="10"/>
      <c r="C9" s="177"/>
      <c r="D9" s="177">
        <f>-('P6 P&amp;L and BS Projection'!D34-'P6 P&amp;L and BS Projection'!C34)</f>
        <v>0</v>
      </c>
      <c r="E9" s="177">
        <f>-('P6 P&amp;L and BS Projection'!E34-'P6 P&amp;L and BS Projection'!D34)</f>
        <v>0</v>
      </c>
      <c r="F9" s="177">
        <f>-('P6 P&amp;L and BS Projection'!F34-'P6 P&amp;L and BS Projection'!E34)</f>
        <v>0</v>
      </c>
      <c r="G9" s="177">
        <f>-('P6 P&amp;L and BS Projection'!G34-'P6 P&amp;L and BS Projection'!F34)</f>
        <v>0</v>
      </c>
      <c r="H9" s="177">
        <f>-('P6 P&amp;L and BS Projection'!H34-'P6 P&amp;L and BS Projection'!G34)</f>
        <v>0</v>
      </c>
      <c r="I9" s="177">
        <f>-('P6 P&amp;L and BS Projection'!I34-'P6 P&amp;L and BS Projection'!H34)</f>
        <v>0</v>
      </c>
    </row>
    <row r="10" spans="1:9">
      <c r="A10" s="9" t="s">
        <v>29</v>
      </c>
      <c r="B10" s="10"/>
      <c r="C10" s="177"/>
      <c r="D10" s="177">
        <f>'P6 P&amp;L and BS Projection'!D45-'P6 P&amp;L and BS Projection'!C45</f>
        <v>170887.5</v>
      </c>
      <c r="E10" s="177">
        <f>'P6 P&amp;L and BS Projection'!E45-'P6 P&amp;L and BS Projection'!D45</f>
        <v>102532.50000000012</v>
      </c>
      <c r="F10" s="177">
        <f>'P6 P&amp;L and BS Projection'!F45-'P6 P&amp;L and BS Projection'!E45</f>
        <v>112785.75000000023</v>
      </c>
      <c r="G10" s="177">
        <f>'P6 P&amp;L and BS Projection'!G45-'P6 P&amp;L and BS Projection'!F45</f>
        <v>124064.32500000019</v>
      </c>
      <c r="H10" s="177">
        <f>'P6 P&amp;L and BS Projection'!H45-'P6 P&amp;L and BS Projection'!G45</f>
        <v>136470.7575000003</v>
      </c>
      <c r="I10" s="177">
        <f>'P6 P&amp;L and BS Projection'!I45-'P6 P&amp;L and BS Projection'!H45</f>
        <v>150117.83325000014</v>
      </c>
    </row>
    <row r="11" spans="1:9" ht="13.8" thickBot="1">
      <c r="A11" s="76" t="s">
        <v>186</v>
      </c>
      <c r="B11" s="11"/>
      <c r="C11" s="188"/>
      <c r="D11" s="188">
        <f>'P6 P&amp;L and BS Projection'!D46-'P6 P&amp;L and BS Projection'!C46</f>
        <v>24412.5</v>
      </c>
      <c r="E11" s="188">
        <f>'P6 P&amp;L and BS Projection'!E46-'P6 P&amp;L and BS Projection'!D46</f>
        <v>14647.500000000029</v>
      </c>
      <c r="F11" s="188">
        <f>'P6 P&amp;L and BS Projection'!F46-'P6 P&amp;L and BS Projection'!E46</f>
        <v>16112.25</v>
      </c>
      <c r="G11" s="188">
        <f>'P6 P&amp;L and BS Projection'!G46-'P6 P&amp;L and BS Projection'!F46</f>
        <v>17723.475000000035</v>
      </c>
      <c r="H11" s="188">
        <f>'P6 P&amp;L and BS Projection'!H46-'P6 P&amp;L and BS Projection'!G46</f>
        <v>19495.822500000038</v>
      </c>
      <c r="I11" s="188">
        <f>'P6 P&amp;L and BS Projection'!I46-'P6 P&amp;L and BS Projection'!H46</f>
        <v>21445.404750000016</v>
      </c>
    </row>
    <row r="12" spans="1:9">
      <c r="A12" t="s">
        <v>30</v>
      </c>
      <c r="B12" s="10"/>
      <c r="C12" s="177"/>
      <c r="D12" s="177">
        <f ca="1">SUM(D6:D11)</f>
        <v>1566370.9014578443</v>
      </c>
      <c r="E12" s="177">
        <f t="shared" ref="E12:I12" ca="1" si="0">SUM(E6:E11)</f>
        <v>1575557.1517311642</v>
      </c>
      <c r="F12" s="177">
        <f t="shared" ca="1" si="0"/>
        <v>1680161.1336475078</v>
      </c>
      <c r="G12" s="177">
        <f t="shared" ca="1" si="0"/>
        <v>1791974.4888026288</v>
      </c>
      <c r="H12" s="177">
        <f t="shared" ca="1" si="0"/>
        <v>1911614.8408921058</v>
      </c>
      <c r="I12" s="177">
        <f t="shared" ca="1" si="0"/>
        <v>1514892.6303973438</v>
      </c>
    </row>
    <row r="13" spans="1:9">
      <c r="B13" s="10"/>
      <c r="C13" s="189"/>
      <c r="D13" s="189"/>
      <c r="E13" s="189"/>
      <c r="F13" s="189"/>
      <c r="G13" s="189"/>
      <c r="H13" s="189"/>
      <c r="I13" s="190"/>
    </row>
    <row r="14" spans="1:9">
      <c r="A14" t="s">
        <v>31</v>
      </c>
      <c r="B14" s="10"/>
      <c r="C14" s="189"/>
      <c r="D14" s="189"/>
      <c r="E14" s="189"/>
      <c r="F14" s="189"/>
      <c r="G14" s="189"/>
      <c r="H14" s="189"/>
      <c r="I14" s="190"/>
    </row>
    <row r="15" spans="1:9" ht="13.8" thickBot="1">
      <c r="A15" s="3" t="s">
        <v>32</v>
      </c>
      <c r="B15" s="11"/>
      <c r="C15" s="188"/>
      <c r="D15" s="188">
        <f>'P6 P&amp;L and BS Projection'!D37-'P6 P&amp;L and BS Projection'!C37</f>
        <v>0</v>
      </c>
      <c r="E15" s="188">
        <f>'P6 P&amp;L and BS Projection'!E37-'P6 P&amp;L and BS Projection'!D37</f>
        <v>0</v>
      </c>
      <c r="F15" s="188">
        <f>'P6 P&amp;L and BS Projection'!F37-'P6 P&amp;L and BS Projection'!E37</f>
        <v>0</v>
      </c>
      <c r="G15" s="188">
        <f>'P6 P&amp;L and BS Projection'!G37-'P6 P&amp;L and BS Projection'!F37</f>
        <v>0</v>
      </c>
      <c r="H15" s="188">
        <f>'P6 P&amp;L and BS Projection'!H37-'P6 P&amp;L and BS Projection'!G37</f>
        <v>0</v>
      </c>
      <c r="I15" s="188">
        <f>'P6 P&amp;L and BS Projection'!I37-'P6 P&amp;L and BS Projection'!H37</f>
        <v>0</v>
      </c>
    </row>
    <row r="16" spans="1:9">
      <c r="A16" t="s">
        <v>33</v>
      </c>
      <c r="B16" s="10"/>
      <c r="C16" s="177"/>
      <c r="D16" s="177">
        <f>D15</f>
        <v>0</v>
      </c>
      <c r="E16" s="177">
        <f t="shared" ref="E16:I16" si="1">E15</f>
        <v>0</v>
      </c>
      <c r="F16" s="177">
        <f t="shared" si="1"/>
        <v>0</v>
      </c>
      <c r="G16" s="177">
        <f t="shared" si="1"/>
        <v>0</v>
      </c>
      <c r="H16" s="177">
        <f t="shared" si="1"/>
        <v>0</v>
      </c>
      <c r="I16" s="177">
        <f t="shared" si="1"/>
        <v>0</v>
      </c>
    </row>
    <row r="17" spans="1:9">
      <c r="B17" s="10"/>
      <c r="C17" s="189"/>
      <c r="D17" s="189"/>
      <c r="E17" s="189"/>
      <c r="F17" s="189"/>
      <c r="G17" s="189"/>
      <c r="H17" s="189"/>
      <c r="I17" s="190"/>
    </row>
    <row r="18" spans="1:9">
      <c r="A18" t="s">
        <v>34</v>
      </c>
      <c r="B18" s="10"/>
      <c r="C18" s="189"/>
      <c r="D18" s="189"/>
      <c r="E18" s="189"/>
      <c r="F18" s="189"/>
      <c r="G18" s="189"/>
      <c r="H18" s="189"/>
      <c r="I18" s="190"/>
    </row>
    <row r="19" spans="1:9">
      <c r="A19" t="s">
        <v>35</v>
      </c>
      <c r="B19" s="10"/>
      <c r="C19" s="177"/>
      <c r="D19" s="177">
        <f ca="1">'P6 P&amp;L and BS Projection'!D49-'P6 P&amp;L and BS Projection'!C49</f>
        <v>-1003285.4507289231</v>
      </c>
      <c r="E19" s="177">
        <f ca="1">'P6 P&amp;L and BS Projection'!E49-'P6 P&amp;L and BS Projection'!D49</f>
        <v>-956388.57586558163</v>
      </c>
      <c r="F19" s="177">
        <f ca="1">'P6 P&amp;L and BS Projection'!F49-'P6 P&amp;L and BS Projection'!E49</f>
        <v>-1000876.5668237545</v>
      </c>
      <c r="G19" s="177">
        <f ca="1">'P6 P&amp;L and BS Projection'!G49-'P6 P&amp;L and BS Projection'!F49</f>
        <v>-1048187.8444013149</v>
      </c>
      <c r="H19" s="177">
        <f ca="1">'P6 P&amp;L and BS Projection'!H49-'P6 P&amp;L and BS Projection'!G49</f>
        <v>-1098553.0804460514</v>
      </c>
      <c r="I19" s="177">
        <f ca="1">'P6 P&amp;L and BS Projection'!I49-'P6 P&amp;L and BS Projection'!H49</f>
        <v>-643041.54119867273</v>
      </c>
    </row>
    <row r="20" spans="1:9">
      <c r="A20" t="s">
        <v>36</v>
      </c>
      <c r="B20" s="10"/>
      <c r="C20" s="177"/>
      <c r="D20" s="177">
        <f>'P6 P&amp;L and BS Projection'!D53-'P6 P&amp;L and BS Projection'!C53</f>
        <v>0</v>
      </c>
      <c r="E20" s="177">
        <f>'P6 P&amp;L and BS Projection'!E53-'P6 P&amp;L and BS Projection'!D53</f>
        <v>0</v>
      </c>
      <c r="F20" s="177">
        <f>'P6 P&amp;L and BS Projection'!F53-'P6 P&amp;L and BS Projection'!E53</f>
        <v>0</v>
      </c>
      <c r="G20" s="177">
        <f>'P6 P&amp;L and BS Projection'!G53-'P6 P&amp;L and BS Projection'!F53</f>
        <v>0</v>
      </c>
      <c r="H20" s="177">
        <f>'P6 P&amp;L and BS Projection'!H53-'P6 P&amp;L and BS Projection'!G53</f>
        <v>0</v>
      </c>
      <c r="I20" s="177">
        <f>'P6 P&amp;L and BS Projection'!I53-'P6 P&amp;L and BS Projection'!H53</f>
        <v>0</v>
      </c>
    </row>
    <row r="21" spans="1:9" ht="13.8" thickBot="1">
      <c r="A21" s="3" t="s">
        <v>37</v>
      </c>
      <c r="B21" s="11"/>
      <c r="C21" s="188"/>
      <c r="D21" s="188">
        <f ca="1">-('P6 P&amp;L and BS Projection'!D24)</f>
        <v>-438785.45072892215</v>
      </c>
      <c r="E21" s="188">
        <f ca="1">-('P6 P&amp;L and BS Projection'!E24)</f>
        <v>-482438.5758655821</v>
      </c>
      <c r="F21" s="188">
        <f ca="1">-('P6 P&amp;L and BS Projection'!F24)</f>
        <v>-528881.56682375376</v>
      </c>
      <c r="G21" s="188">
        <f ca="1">-('P6 P&amp;L and BS Projection'!G24)</f>
        <v>-578343.34440131427</v>
      </c>
      <c r="H21" s="188">
        <f ca="1">-('P6 P&amp;L and BS Projection'!H24)</f>
        <v>-631074.13044605276</v>
      </c>
      <c r="I21" s="188">
        <f ca="1">-('P6 P&amp;L and BS Projection'!I24)</f>
        <v>-671664.69619867182</v>
      </c>
    </row>
    <row r="22" spans="1:9">
      <c r="A22" t="s">
        <v>38</v>
      </c>
      <c r="C22" s="191"/>
      <c r="D22" s="191">
        <f ca="1">D19+D20+D21</f>
        <v>-1442070.9014578452</v>
      </c>
      <c r="E22" s="191">
        <f t="shared" ref="E22:I22" ca="1" si="2">E19+E20+E21</f>
        <v>-1438827.1517311637</v>
      </c>
      <c r="F22" s="191">
        <f t="shared" ca="1" si="2"/>
        <v>-1529758.1336475082</v>
      </c>
      <c r="G22" s="191">
        <f t="shared" ca="1" si="2"/>
        <v>-1626531.1888026292</v>
      </c>
      <c r="H22" s="191">
        <f t="shared" ca="1" si="2"/>
        <v>-1729627.2108921041</v>
      </c>
      <c r="I22" s="191">
        <f t="shared" ca="1" si="2"/>
        <v>-1314706.2373973446</v>
      </c>
    </row>
    <row r="23" spans="1:9">
      <c r="C23" s="190"/>
      <c r="D23" s="190"/>
      <c r="E23" s="190"/>
      <c r="F23" s="190"/>
      <c r="G23" s="190"/>
      <c r="H23" s="190"/>
      <c r="I23" s="190"/>
    </row>
    <row r="24" spans="1:9">
      <c r="A24" t="s">
        <v>39</v>
      </c>
      <c r="B24" s="10"/>
      <c r="C24" s="177"/>
      <c r="D24" s="177">
        <f ca="1">D12+D16+D22</f>
        <v>124299.99999999907</v>
      </c>
      <c r="E24" s="177">
        <f t="shared" ref="E24:I24" ca="1" si="3">E12+E16+E22</f>
        <v>136730.00000000047</v>
      </c>
      <c r="F24" s="177">
        <f t="shared" ca="1" si="3"/>
        <v>150402.99999999953</v>
      </c>
      <c r="G24" s="177">
        <f t="shared" ca="1" si="3"/>
        <v>165443.29999999958</v>
      </c>
      <c r="H24" s="177">
        <f t="shared" ca="1" si="3"/>
        <v>181987.63000000175</v>
      </c>
      <c r="I24" s="177">
        <f t="shared" ca="1" si="3"/>
        <v>200186.39299999923</v>
      </c>
    </row>
    <row r="25" spans="1:9" ht="13.8" thickBot="1">
      <c r="A25" s="3" t="s">
        <v>41</v>
      </c>
      <c r="B25" s="11"/>
      <c r="C25" s="188"/>
      <c r="D25" s="188">
        <f>'P6 P&amp;L and BS Projection'!C32</f>
        <v>1243000</v>
      </c>
      <c r="E25" s="188">
        <f>'P6 P&amp;L and BS Projection'!D32</f>
        <v>1367300</v>
      </c>
      <c r="F25" s="188">
        <f>'P6 P&amp;L and BS Projection'!E32</f>
        <v>1504030.0000000002</v>
      </c>
      <c r="G25" s="188">
        <f>'P6 P&amp;L and BS Projection'!F32</f>
        <v>1654433.0000000005</v>
      </c>
      <c r="H25" s="188">
        <f>'P6 P&amp;L and BS Projection'!G32</f>
        <v>1819876.3000000007</v>
      </c>
      <c r="I25" s="188">
        <f>'P6 P&amp;L and BS Projection'!H32</f>
        <v>2001863.9300000009</v>
      </c>
    </row>
    <row r="26" spans="1:9">
      <c r="A26" s="21" t="s">
        <v>40</v>
      </c>
      <c r="B26" s="78"/>
      <c r="C26" s="192">
        <v>1243000</v>
      </c>
      <c r="D26" s="192">
        <f ca="1">D24+D25</f>
        <v>1367299.9999999991</v>
      </c>
      <c r="E26" s="192">
        <f t="shared" ref="E26:I26" ca="1" si="4">E24+E25</f>
        <v>1504030.0000000005</v>
      </c>
      <c r="F26" s="192">
        <f t="shared" ca="1" si="4"/>
        <v>1654432.9999999998</v>
      </c>
      <c r="G26" s="192">
        <f t="shared" ca="1" si="4"/>
        <v>1819876.3</v>
      </c>
      <c r="H26" s="192">
        <f t="shared" ca="1" si="4"/>
        <v>2001863.9300000025</v>
      </c>
      <c r="I26" s="192">
        <f t="shared" ca="1" si="4"/>
        <v>2202050.3229999999</v>
      </c>
    </row>
    <row r="27" spans="1:9">
      <c r="B27" s="10"/>
      <c r="C27" s="157"/>
      <c r="D27" s="157"/>
      <c r="E27" s="157"/>
      <c r="F27" s="157"/>
      <c r="G27" s="157"/>
      <c r="H27" s="157"/>
      <c r="I27" s="120"/>
    </row>
    <row r="28" spans="1:9">
      <c r="A28" s="21" t="s">
        <v>187</v>
      </c>
      <c r="B28" s="10"/>
      <c r="C28" s="116">
        <f>'P6 P&amp;L and BS Projection'!C32</f>
        <v>1243000</v>
      </c>
      <c r="D28" s="116">
        <f>'P6 P&amp;L and BS Projection'!D32</f>
        <v>1367300</v>
      </c>
      <c r="E28" s="116">
        <f>'P6 P&amp;L and BS Projection'!E32</f>
        <v>1504030.0000000002</v>
      </c>
      <c r="F28" s="116">
        <f>'P6 P&amp;L and BS Projection'!F32</f>
        <v>1654433.0000000005</v>
      </c>
      <c r="G28" s="116">
        <f>'P6 P&amp;L and BS Projection'!G32</f>
        <v>1819876.3000000007</v>
      </c>
      <c r="H28" s="116">
        <f>'P6 P&amp;L and BS Projection'!H32</f>
        <v>2001863.9300000009</v>
      </c>
      <c r="I28" s="116">
        <f>'P6 P&amp;L and BS Projection'!I32</f>
        <v>2202050.3230000013</v>
      </c>
    </row>
    <row r="30" spans="1:9">
      <c r="A30" s="52" t="s">
        <v>59</v>
      </c>
      <c r="C30" s="77" t="str">
        <f>IF(C28=C26,"OK","NOT OK")</f>
        <v>OK</v>
      </c>
      <c r="D30" s="77" t="str">
        <f t="shared" ref="D30:I30" ca="1" si="5">IF(D28=D26,"OK","NOT OK")</f>
        <v>OK</v>
      </c>
      <c r="E30" s="77" t="str">
        <f t="shared" ca="1" si="5"/>
        <v>OK</v>
      </c>
      <c r="F30" s="77" t="str">
        <f t="shared" ca="1" si="5"/>
        <v>OK</v>
      </c>
      <c r="G30" s="77" t="str">
        <f t="shared" ca="1" si="5"/>
        <v>OK</v>
      </c>
      <c r="H30" s="77" t="str">
        <f t="shared" ca="1" si="5"/>
        <v>OK</v>
      </c>
      <c r="I30" s="77" t="str">
        <f t="shared" ca="1" si="5"/>
        <v>OK</v>
      </c>
    </row>
    <row r="32" spans="1:9">
      <c r="C32" s="43"/>
      <c r="D32" s="43"/>
      <c r="E32" s="43"/>
      <c r="F32" s="43"/>
      <c r="G32" s="43"/>
      <c r="H32" s="43"/>
      <c r="I32" s="43"/>
    </row>
    <row r="34" spans="1:1">
      <c r="A34" s="21"/>
    </row>
    <row r="35" spans="1:1">
      <c r="A35" s="21"/>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1"/>
  <sheetViews>
    <sheetView workbookViewId="0"/>
  </sheetViews>
  <sheetFormatPr defaultRowHeight="13.2"/>
  <cols>
    <col min="1" max="1" width="30.33203125" customWidth="1"/>
    <col min="2" max="2" width="13.5546875" customWidth="1"/>
    <col min="3" max="3" width="14" bestFit="1" customWidth="1"/>
    <col min="4" max="5" width="10.21875" bestFit="1" customWidth="1"/>
    <col min="6" max="9" width="10.109375" bestFit="1" customWidth="1"/>
  </cols>
  <sheetData>
    <row r="1" spans="1:9" ht="21">
      <c r="B1" s="34" t="s">
        <v>188</v>
      </c>
      <c r="E1" s="90" t="s">
        <v>265</v>
      </c>
      <c r="F1" s="91">
        <v>10</v>
      </c>
    </row>
    <row r="2" spans="1:9" ht="14.4">
      <c r="A2" s="85" t="s">
        <v>225</v>
      </c>
    </row>
    <row r="4" spans="1:9" ht="15.6">
      <c r="A4" s="213" t="s">
        <v>281</v>
      </c>
      <c r="B4" s="213"/>
      <c r="D4" s="79"/>
    </row>
    <row r="5" spans="1:9">
      <c r="B5" s="16" t="s">
        <v>133</v>
      </c>
      <c r="C5" s="16" t="s">
        <v>49</v>
      </c>
      <c r="D5" s="16" t="s">
        <v>50</v>
      </c>
      <c r="E5" s="16" t="s">
        <v>51</v>
      </c>
      <c r="F5" s="16" t="s">
        <v>52</v>
      </c>
      <c r="G5" s="16" t="s">
        <v>53</v>
      </c>
      <c r="H5" s="16" t="s">
        <v>54</v>
      </c>
      <c r="I5" s="16" t="s">
        <v>55</v>
      </c>
    </row>
    <row r="8" spans="1:9">
      <c r="A8" s="5" t="s">
        <v>137</v>
      </c>
      <c r="B8" s="116">
        <f>-('P5 Cost of capital'!B5)</f>
        <v>-976500</v>
      </c>
      <c r="C8" s="120"/>
      <c r="D8" s="120"/>
      <c r="E8" s="120"/>
      <c r="F8" s="120"/>
      <c r="G8" s="120"/>
      <c r="H8" s="120"/>
      <c r="I8" s="120"/>
    </row>
    <row r="9" spans="1:9">
      <c r="A9" s="5" t="s">
        <v>191</v>
      </c>
      <c r="B9" s="120"/>
      <c r="C9" s="116">
        <f>'P7 CF''s projection'!C26*'P3 Inputs'!B31</f>
        <v>248600</v>
      </c>
      <c r="D9" s="116">
        <f ca="1">'P7 CF''s projection'!D26*'P3 Inputs'!B31</f>
        <v>273459.99999999983</v>
      </c>
      <c r="E9" s="116">
        <f ca="1">'P7 CF''s projection'!E26*'P3 Inputs'!B31</f>
        <v>300806.00000000012</v>
      </c>
      <c r="F9" s="116">
        <f ca="1">'P7 CF''s projection'!F26*'P3 Inputs'!B31</f>
        <v>330886.59999999998</v>
      </c>
      <c r="G9" s="116">
        <f ca="1">'P7 CF''s projection'!G26*'P3 Inputs'!B31</f>
        <v>363975.26</v>
      </c>
      <c r="H9" s="116">
        <f ca="1">'P7 CF''s projection'!H26*'P3 Inputs'!B31</f>
        <v>400372.78600000055</v>
      </c>
      <c r="I9" s="116">
        <f ca="1">'P7 CF''s projection'!I26*'P3 Inputs'!B31</f>
        <v>440410.06459999998</v>
      </c>
    </row>
    <row r="10" spans="1:9">
      <c r="A10" s="5"/>
      <c r="B10" s="120"/>
      <c r="C10" s="120"/>
      <c r="D10" s="120"/>
      <c r="E10" s="120"/>
      <c r="F10" s="120"/>
      <c r="G10" s="120"/>
      <c r="H10" s="120"/>
      <c r="I10" s="120"/>
    </row>
    <row r="11" spans="1:9">
      <c r="A11" s="5" t="s">
        <v>192</v>
      </c>
      <c r="B11" s="197">
        <f>B8</f>
        <v>-976500</v>
      </c>
      <c r="C11" s="197">
        <f>C9</f>
        <v>248600</v>
      </c>
      <c r="D11" s="197">
        <f ca="1">D9</f>
        <v>273459.99999999983</v>
      </c>
      <c r="E11" s="197">
        <f t="shared" ref="E11:I11" ca="1" si="0">E9</f>
        <v>300806.00000000012</v>
      </c>
      <c r="F11" s="197">
        <f t="shared" ca="1" si="0"/>
        <v>330886.59999999998</v>
      </c>
      <c r="G11" s="197">
        <f t="shared" ca="1" si="0"/>
        <v>363975.26</v>
      </c>
      <c r="H11" s="197">
        <f t="shared" ca="1" si="0"/>
        <v>400372.78600000055</v>
      </c>
      <c r="I11" s="197">
        <f t="shared" ca="1" si="0"/>
        <v>440410.06459999998</v>
      </c>
    </row>
    <row r="12" spans="1:9">
      <c r="A12" s="5"/>
      <c r="B12" s="81"/>
      <c r="C12" s="81"/>
      <c r="D12" s="81"/>
      <c r="E12" s="81"/>
      <c r="F12" s="81"/>
      <c r="G12" s="81"/>
      <c r="H12" s="81"/>
      <c r="I12" s="81"/>
    </row>
    <row r="13" spans="1:9">
      <c r="A13" s="5"/>
      <c r="B13" s="81"/>
      <c r="C13" s="81"/>
      <c r="D13" s="81"/>
      <c r="E13" s="81"/>
      <c r="F13" s="81"/>
      <c r="G13" s="81"/>
      <c r="H13" s="81"/>
      <c r="I13" s="81"/>
    </row>
    <row r="14" spans="1:9">
      <c r="A14" s="21" t="s">
        <v>202</v>
      </c>
      <c r="B14" s="80">
        <f ca="1">B11+NPV('P5 Cost of capital'!B51,'P8 Scenarios'!C11:I11)</f>
        <v>933244.03354712296</v>
      </c>
      <c r="C14" s="81"/>
      <c r="D14" s="81" t="s">
        <v>393</v>
      </c>
      <c r="E14" s="81"/>
      <c r="F14" s="81"/>
      <c r="G14" s="81"/>
      <c r="H14" s="81"/>
      <c r="I14" s="81"/>
    </row>
    <row r="15" spans="1:9">
      <c r="A15" s="21" t="s">
        <v>203</v>
      </c>
      <c r="B15" s="193">
        <f ca="1">IRR(B11:I11)</f>
        <v>0.25128872974300309</v>
      </c>
      <c r="C15" s="81"/>
      <c r="D15" s="81" t="s">
        <v>394</v>
      </c>
      <c r="E15" s="81"/>
      <c r="F15" s="81"/>
      <c r="G15" s="81"/>
      <c r="H15" s="81"/>
      <c r="I15" s="81"/>
    </row>
    <row r="16" spans="1:9">
      <c r="B16" s="81"/>
      <c r="C16" s="81"/>
      <c r="D16" s="81"/>
      <c r="E16" s="81"/>
      <c r="F16" s="81"/>
      <c r="G16" s="81"/>
      <c r="H16" s="81"/>
      <c r="I16" s="81"/>
    </row>
    <row r="17" spans="1:9" ht="15.6">
      <c r="A17" s="213" t="s">
        <v>280</v>
      </c>
      <c r="B17" s="213"/>
      <c r="D17" s="79"/>
    </row>
    <row r="18" spans="1:9">
      <c r="B18" s="16" t="s">
        <v>133</v>
      </c>
      <c r="C18" s="16" t="s">
        <v>49</v>
      </c>
      <c r="D18" s="16" t="s">
        <v>50</v>
      </c>
      <c r="E18" s="16" t="s">
        <v>51</v>
      </c>
      <c r="F18" s="16" t="s">
        <v>52</v>
      </c>
      <c r="G18" s="16" t="s">
        <v>53</v>
      </c>
      <c r="H18" s="16" t="s">
        <v>54</v>
      </c>
      <c r="I18" s="16" t="s">
        <v>55</v>
      </c>
    </row>
    <row r="21" spans="1:9">
      <c r="A21" s="5" t="s">
        <v>137</v>
      </c>
      <c r="B21" s="116">
        <f>(B8)*(1+'P3 Inputs'!B32)</f>
        <v>-1171800</v>
      </c>
      <c r="C21" s="120"/>
      <c r="D21" s="120"/>
      <c r="E21" s="120"/>
      <c r="F21" s="120"/>
      <c r="G21" s="120"/>
      <c r="H21" s="120"/>
      <c r="I21" s="120"/>
    </row>
    <row r="22" spans="1:9">
      <c r="A22" s="5" t="s">
        <v>191</v>
      </c>
      <c r="B22" s="120"/>
      <c r="C22" s="116">
        <f>'P7 CF''s projection'!C26*(1-'P3 Inputs'!B33)</f>
        <v>1180850</v>
      </c>
      <c r="D22" s="116">
        <f ca="1">'P7 CF''s projection'!D26*(1-'P3 Inputs'!B33)</f>
        <v>1298934.9999999991</v>
      </c>
      <c r="E22" s="116">
        <f ca="1">'P7 CF''s projection'!E26*(1-'P3 Inputs'!B33)</f>
        <v>1428828.5000000005</v>
      </c>
      <c r="F22" s="116">
        <f ca="1">'P7 CF''s projection'!F26*(1-'P3 Inputs'!B33)</f>
        <v>1571711.3499999996</v>
      </c>
      <c r="G22" s="116">
        <f ca="1">'P7 CF''s projection'!G26*(1-'P3 Inputs'!B33)</f>
        <v>1728882.4849999999</v>
      </c>
      <c r="H22" s="116">
        <f ca="1">'P7 CF''s projection'!H26*(1-'P3 Inputs'!B33)</f>
        <v>1901770.7335000022</v>
      </c>
      <c r="I22" s="116">
        <f ca="1">'P7 CF''s projection'!I26*(1-'P3 Inputs'!B33)</f>
        <v>2091947.8068499998</v>
      </c>
    </row>
    <row r="23" spans="1:9">
      <c r="A23" s="5"/>
      <c r="B23" s="120"/>
      <c r="C23" s="120"/>
      <c r="D23" s="120"/>
      <c r="E23" s="120"/>
      <c r="F23" s="120"/>
      <c r="G23" s="120"/>
      <c r="H23" s="120"/>
      <c r="I23" s="120"/>
    </row>
    <row r="24" spans="1:9">
      <c r="A24" s="5" t="s">
        <v>192</v>
      </c>
      <c r="B24" s="197">
        <f>B21</f>
        <v>-1171800</v>
      </c>
      <c r="C24" s="197">
        <f>C22</f>
        <v>1180850</v>
      </c>
      <c r="D24" s="197">
        <f t="shared" ref="D24:I24" ca="1" si="1">D22</f>
        <v>1298934.9999999991</v>
      </c>
      <c r="E24" s="197">
        <f t="shared" ca="1" si="1"/>
        <v>1428828.5000000005</v>
      </c>
      <c r="F24" s="197">
        <f t="shared" ca="1" si="1"/>
        <v>1571711.3499999996</v>
      </c>
      <c r="G24" s="197">
        <f t="shared" ca="1" si="1"/>
        <v>1728882.4849999999</v>
      </c>
      <c r="H24" s="197">
        <f t="shared" ca="1" si="1"/>
        <v>1901770.7335000022</v>
      </c>
      <c r="I24" s="197">
        <f t="shared" ca="1" si="1"/>
        <v>2091947.8068499998</v>
      </c>
    </row>
    <row r="25" spans="1:9">
      <c r="A25" s="5"/>
      <c r="B25" s="81"/>
      <c r="C25" s="81"/>
      <c r="D25" s="81"/>
      <c r="E25" s="81"/>
      <c r="F25" s="81"/>
      <c r="G25" s="81"/>
      <c r="H25" s="81"/>
      <c r="I25" s="81"/>
    </row>
    <row r="26" spans="1:9">
      <c r="A26" s="5"/>
      <c r="B26" s="81"/>
      <c r="C26" s="81"/>
      <c r="D26" s="81"/>
      <c r="E26" s="81"/>
      <c r="F26" s="81"/>
      <c r="G26" s="81"/>
      <c r="H26" s="81"/>
      <c r="I26" s="81"/>
    </row>
    <row r="27" spans="1:9">
      <c r="A27" s="21" t="s">
        <v>200</v>
      </c>
      <c r="B27" s="80">
        <f ca="1">B24+NPV('P5 Cost of capital'!B51,'P8 Scenarios'!C24:I24)</f>
        <v>7899484.1593488343</v>
      </c>
      <c r="C27" s="81"/>
      <c r="D27" s="81"/>
      <c r="E27" s="81"/>
      <c r="F27" s="81"/>
      <c r="G27" s="81"/>
      <c r="H27" s="81"/>
      <c r="I27" s="81"/>
    </row>
    <row r="28" spans="1:9">
      <c r="A28" s="21" t="s">
        <v>201</v>
      </c>
      <c r="B28" s="193">
        <f ca="1">IRR(B24:I24)</f>
        <v>1.0966992141301608</v>
      </c>
      <c r="C28" s="81"/>
      <c r="D28" s="81"/>
      <c r="E28" s="81"/>
      <c r="F28" s="81"/>
      <c r="G28" s="81"/>
      <c r="H28" s="81"/>
      <c r="I28" s="81"/>
    </row>
    <row r="30" spans="1:9" ht="15.6">
      <c r="A30" s="214" t="s">
        <v>279</v>
      </c>
      <c r="B30" s="214"/>
      <c r="D30" s="79"/>
    </row>
    <row r="31" spans="1:9">
      <c r="B31" s="16" t="s">
        <v>133</v>
      </c>
      <c r="C31" s="16" t="s">
        <v>49</v>
      </c>
      <c r="D31" s="16" t="s">
        <v>50</v>
      </c>
      <c r="E31" s="16" t="s">
        <v>51</v>
      </c>
      <c r="F31" s="16" t="s">
        <v>52</v>
      </c>
      <c r="G31" s="16" t="s">
        <v>53</v>
      </c>
      <c r="H31" s="16" t="s">
        <v>54</v>
      </c>
      <c r="I31" s="16" t="s">
        <v>55</v>
      </c>
    </row>
    <row r="34" spans="1:9">
      <c r="A34" s="5" t="s">
        <v>137</v>
      </c>
      <c r="B34" s="116">
        <f>B8*(1-'P3 Inputs'!B34)</f>
        <v>-830025</v>
      </c>
      <c r="C34" s="120"/>
      <c r="D34" s="120"/>
      <c r="E34" s="120"/>
      <c r="F34" s="120"/>
      <c r="G34" s="120"/>
      <c r="H34" s="120"/>
      <c r="I34" s="120"/>
    </row>
    <row r="35" spans="1:9">
      <c r="A35" s="5" t="s">
        <v>191</v>
      </c>
      <c r="B35" s="120"/>
      <c r="C35" s="116">
        <f>'P7 CF''s projection'!C26*(1+'P3 Inputs'!B35)</f>
        <v>1317580</v>
      </c>
      <c r="D35" s="116">
        <f ca="1">'P7 CF''s projection'!D26*(1+'P3 Inputs'!B35)</f>
        <v>1449337.9999999991</v>
      </c>
      <c r="E35" s="116">
        <f ca="1">'P7 CF''s projection'!E26*(1+'P3 Inputs'!B35)</f>
        <v>1594271.8000000005</v>
      </c>
      <c r="F35" s="116">
        <f ca="1">'P7 CF''s projection'!F26*(1+'P3 Inputs'!B35)</f>
        <v>1753698.9799999997</v>
      </c>
      <c r="G35" s="116">
        <f ca="1">'P7 CF''s projection'!G26*(1+'P3 Inputs'!B35)</f>
        <v>1929068.8780000003</v>
      </c>
      <c r="H35" s="116">
        <f ca="1">'P7 CF''s projection'!H26*(1+'P3 Inputs'!B35)</f>
        <v>2121975.765800003</v>
      </c>
      <c r="I35" s="116">
        <f ca="1">'P7 CF''s projection'!I26*(1+'P3 Inputs'!B35)</f>
        <v>2334173.3423799998</v>
      </c>
    </row>
    <row r="36" spans="1:9">
      <c r="A36" s="5"/>
      <c r="B36" s="120"/>
      <c r="C36" s="120"/>
      <c r="D36" s="120"/>
      <c r="E36" s="120"/>
      <c r="F36" s="120"/>
      <c r="G36" s="120"/>
      <c r="H36" s="120"/>
      <c r="I36" s="120"/>
    </row>
    <row r="37" spans="1:9">
      <c r="A37" s="5" t="s">
        <v>192</v>
      </c>
      <c r="B37" s="197">
        <f>B34</f>
        <v>-830025</v>
      </c>
      <c r="C37" s="197">
        <f t="shared" ref="C37:I37" si="2">C35</f>
        <v>1317580</v>
      </c>
      <c r="D37" s="197">
        <f t="shared" ca="1" si="2"/>
        <v>1449337.9999999991</v>
      </c>
      <c r="E37" s="197">
        <f t="shared" ca="1" si="2"/>
        <v>1594271.8000000005</v>
      </c>
      <c r="F37" s="197">
        <f t="shared" ca="1" si="2"/>
        <v>1753698.9799999997</v>
      </c>
      <c r="G37" s="197">
        <f t="shared" ca="1" si="2"/>
        <v>1929068.8780000003</v>
      </c>
      <c r="H37" s="197">
        <f t="shared" ca="1" si="2"/>
        <v>2121975.765800003</v>
      </c>
      <c r="I37" s="197">
        <f t="shared" ca="1" si="2"/>
        <v>2334173.3423799998</v>
      </c>
    </row>
    <row r="38" spans="1:9">
      <c r="A38" s="5"/>
      <c r="B38" s="81"/>
      <c r="C38" s="81"/>
      <c r="D38" s="81"/>
      <c r="E38" s="81"/>
      <c r="F38" s="81"/>
      <c r="G38" s="81"/>
      <c r="H38" s="81"/>
      <c r="I38" s="81"/>
    </row>
    <row r="39" spans="1:9">
      <c r="A39" s="5"/>
      <c r="B39" s="81"/>
      <c r="C39" s="81"/>
      <c r="D39" s="81"/>
      <c r="E39" s="81"/>
      <c r="F39" s="81"/>
      <c r="G39" s="81"/>
      <c r="H39" s="81"/>
      <c r="I39" s="81"/>
    </row>
    <row r="40" spans="1:9">
      <c r="A40" s="21" t="s">
        <v>198</v>
      </c>
      <c r="B40" s="80">
        <f ca="1">B37+NPV('P5 Cost of capital'!B51,'P8 Scenarios'!C37:I37)</f>
        <v>9291618.3777997512</v>
      </c>
      <c r="C40" s="81"/>
      <c r="D40" s="81"/>
      <c r="E40" s="81"/>
      <c r="F40" s="81"/>
      <c r="G40" s="81"/>
      <c r="H40" s="81"/>
      <c r="I40" s="81"/>
    </row>
    <row r="41" spans="1:9">
      <c r="A41" s="21" t="s">
        <v>199</v>
      </c>
      <c r="B41" s="23">
        <f ca="1">IRR(B37:I37)</f>
        <v>1.6843176397001254</v>
      </c>
      <c r="C41" s="81"/>
      <c r="D41" s="81"/>
      <c r="E41" s="81"/>
      <c r="F41" s="81"/>
      <c r="G41" s="81"/>
      <c r="H41" s="81"/>
      <c r="I41" s="81"/>
    </row>
  </sheetData>
  <mergeCells count="3">
    <mergeCell ref="A17:B17"/>
    <mergeCell ref="A4:B4"/>
    <mergeCell ref="A30:B30"/>
  </mergeCells>
  <pageMargins left="0.7" right="0.7" top="0.75" bottom="0.75" header="0.3" footer="0.3"/>
  <pageSetup paperSize="9" orientation="portrait" horizontalDpi="4294967295" verticalDpi="4294967295"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0"/>
  <sheetViews>
    <sheetView workbookViewId="0">
      <selection activeCell="L13" sqref="L13"/>
    </sheetView>
  </sheetViews>
  <sheetFormatPr defaultRowHeight="13.2"/>
  <cols>
    <col min="1" max="1" width="24.33203125" customWidth="1"/>
    <col min="2" max="8" width="10.6640625" customWidth="1"/>
  </cols>
  <sheetData>
    <row r="1" spans="1:8" ht="21">
      <c r="C1" s="34" t="s">
        <v>213</v>
      </c>
      <c r="G1" s="90" t="s">
        <v>265</v>
      </c>
      <c r="H1" s="91">
        <v>5</v>
      </c>
    </row>
    <row r="2" spans="1:8" ht="14.4">
      <c r="A2" s="85" t="s">
        <v>225</v>
      </c>
    </row>
    <row r="3" spans="1:8">
      <c r="B3" s="16" t="s">
        <v>49</v>
      </c>
      <c r="C3" s="16" t="s">
        <v>50</v>
      </c>
      <c r="D3" s="16" t="s">
        <v>51</v>
      </c>
      <c r="E3" s="16" t="s">
        <v>52</v>
      </c>
      <c r="F3" s="16" t="s">
        <v>53</v>
      </c>
      <c r="G3" s="16" t="s">
        <v>54</v>
      </c>
      <c r="H3" s="16" t="s">
        <v>55</v>
      </c>
    </row>
    <row r="4" spans="1:8" ht="15.6">
      <c r="A4" s="15" t="s">
        <v>214</v>
      </c>
    </row>
    <row r="6" spans="1:8">
      <c r="A6" s="82" t="s">
        <v>177</v>
      </c>
      <c r="B6" s="116">
        <f>'P6 P&amp;L and BS Projection'!C33</f>
        <v>0</v>
      </c>
      <c r="C6" s="116">
        <f>'P6 P&amp;L and BS Projection'!D33</f>
        <v>0</v>
      </c>
      <c r="D6" s="116">
        <f>'P6 P&amp;L and BS Projection'!E33</f>
        <v>0</v>
      </c>
      <c r="E6" s="116">
        <f>'P6 P&amp;L and BS Projection'!F33</f>
        <v>0</v>
      </c>
      <c r="F6" s="116">
        <f>'P6 P&amp;L and BS Projection'!G33</f>
        <v>0</v>
      </c>
      <c r="G6" s="116">
        <f>'P6 P&amp;L and BS Projection'!H33</f>
        <v>0</v>
      </c>
      <c r="H6" s="116">
        <f>'P6 P&amp;L and BS Projection'!I33</f>
        <v>0</v>
      </c>
    </row>
    <row r="7" spans="1:8">
      <c r="A7" s="82" t="s">
        <v>215</v>
      </c>
      <c r="B7" s="116">
        <f>'P6 P&amp;L and BS Projection'!C34</f>
        <v>0</v>
      </c>
      <c r="C7" s="116">
        <f>'P6 P&amp;L and BS Projection'!D34</f>
        <v>0</v>
      </c>
      <c r="D7" s="116">
        <f>'P6 P&amp;L and BS Projection'!E34</f>
        <v>0</v>
      </c>
      <c r="E7" s="116">
        <f>'P6 P&amp;L and BS Projection'!F34</f>
        <v>0</v>
      </c>
      <c r="F7" s="116">
        <f>'P6 P&amp;L and BS Projection'!G34</f>
        <v>0</v>
      </c>
      <c r="G7" s="116">
        <f>'P6 P&amp;L and BS Projection'!H34</f>
        <v>0</v>
      </c>
      <c r="H7" s="116">
        <f>'P6 P&amp;L and BS Projection'!I34</f>
        <v>0</v>
      </c>
    </row>
    <row r="8" spans="1:8">
      <c r="A8" s="82"/>
      <c r="B8" s="120"/>
      <c r="C8" s="120"/>
      <c r="D8" s="120"/>
      <c r="E8" s="120"/>
      <c r="F8" s="120"/>
      <c r="G8" s="120"/>
      <c r="H8" s="120"/>
    </row>
    <row r="9" spans="1:8">
      <c r="A9" s="83" t="s">
        <v>218</v>
      </c>
      <c r="B9" s="197">
        <f>B6+B7</f>
        <v>0</v>
      </c>
      <c r="C9" s="197">
        <f t="shared" ref="C9:H9" si="0">C6+C7</f>
        <v>0</v>
      </c>
      <c r="D9" s="197">
        <f t="shared" si="0"/>
        <v>0</v>
      </c>
      <c r="E9" s="197">
        <f t="shared" si="0"/>
        <v>0</v>
      </c>
      <c r="F9" s="197">
        <f t="shared" si="0"/>
        <v>0</v>
      </c>
      <c r="G9" s="197">
        <f t="shared" si="0"/>
        <v>0</v>
      </c>
      <c r="H9" s="197">
        <f t="shared" si="0"/>
        <v>0</v>
      </c>
    </row>
    <row r="10" spans="1:8">
      <c r="B10" s="120"/>
      <c r="C10" s="120"/>
      <c r="D10" s="120"/>
      <c r="E10" s="120"/>
      <c r="F10" s="120"/>
      <c r="G10" s="120"/>
      <c r="H10" s="120"/>
    </row>
    <row r="11" spans="1:8" ht="15.6">
      <c r="A11" s="15" t="s">
        <v>216</v>
      </c>
      <c r="B11" s="120"/>
      <c r="C11" s="120"/>
      <c r="D11" s="120"/>
      <c r="E11" s="120"/>
      <c r="F11" s="120"/>
      <c r="G11" s="120"/>
      <c r="H11" s="120"/>
    </row>
    <row r="12" spans="1:8">
      <c r="B12" s="120"/>
      <c r="C12" s="120"/>
      <c r="D12" s="120"/>
      <c r="E12" s="120"/>
      <c r="F12" s="120"/>
      <c r="G12" s="120"/>
      <c r="H12" s="120"/>
    </row>
    <row r="13" spans="1:8">
      <c r="A13" s="82" t="s">
        <v>217</v>
      </c>
      <c r="B13" s="116">
        <f>'P6 P&amp;L and BS Projection'!C45</f>
        <v>854437.50000000012</v>
      </c>
      <c r="C13" s="116">
        <f>'P6 P&amp;L and BS Projection'!D45</f>
        <v>1025325.0000000001</v>
      </c>
      <c r="D13" s="116">
        <f>'P6 P&amp;L and BS Projection'!E45</f>
        <v>1127857.5000000002</v>
      </c>
      <c r="E13" s="116">
        <f>'P6 P&amp;L and BS Projection'!F45</f>
        <v>1240643.2500000005</v>
      </c>
      <c r="F13" s="116">
        <f>'P6 P&amp;L and BS Projection'!G45</f>
        <v>1364707.5750000007</v>
      </c>
      <c r="G13" s="116">
        <f>'P6 P&amp;L and BS Projection'!H45</f>
        <v>1501178.3325000009</v>
      </c>
      <c r="H13" s="116">
        <f>'P6 P&amp;L and BS Projection'!I45</f>
        <v>1651296.1657500011</v>
      </c>
    </row>
    <row r="14" spans="1:8">
      <c r="A14" s="84" t="s">
        <v>180</v>
      </c>
      <c r="B14" s="116">
        <f>'P6 P&amp;L and BS Projection'!C46</f>
        <v>122062.5</v>
      </c>
      <c r="C14" s="116">
        <f>'P6 P&amp;L and BS Projection'!D46</f>
        <v>146475</v>
      </c>
      <c r="D14" s="116">
        <f>'P6 P&amp;L and BS Projection'!E46</f>
        <v>161122.50000000003</v>
      </c>
      <c r="E14" s="116">
        <f>'P6 P&amp;L and BS Projection'!F46</f>
        <v>177234.75000000003</v>
      </c>
      <c r="F14" s="116">
        <f>'P6 P&amp;L and BS Projection'!G46</f>
        <v>194958.22500000006</v>
      </c>
      <c r="G14" s="116">
        <f>'P6 P&amp;L and BS Projection'!H46</f>
        <v>214454.0475000001</v>
      </c>
      <c r="H14" s="116">
        <f>'P6 P&amp;L and BS Projection'!I46</f>
        <v>235899.45225000012</v>
      </c>
    </row>
    <row r="15" spans="1:8">
      <c r="A15" s="84"/>
      <c r="B15" s="120"/>
      <c r="C15" s="120"/>
      <c r="D15" s="120"/>
      <c r="E15" s="120"/>
      <c r="F15" s="120"/>
      <c r="G15" s="120"/>
      <c r="H15" s="120"/>
    </row>
    <row r="16" spans="1:8">
      <c r="A16" s="83" t="s">
        <v>219</v>
      </c>
      <c r="B16" s="197">
        <f t="shared" ref="B16:H16" si="1">B13+B14</f>
        <v>976500.00000000012</v>
      </c>
      <c r="C16" s="197">
        <f t="shared" si="1"/>
        <v>1171800</v>
      </c>
      <c r="D16" s="197">
        <f t="shared" si="1"/>
        <v>1288980.0000000002</v>
      </c>
      <c r="E16" s="197">
        <f t="shared" si="1"/>
        <v>1417878.0000000005</v>
      </c>
      <c r="F16" s="197">
        <f t="shared" si="1"/>
        <v>1559665.8000000007</v>
      </c>
      <c r="G16" s="197">
        <f t="shared" si="1"/>
        <v>1715632.3800000011</v>
      </c>
      <c r="H16" s="197">
        <f t="shared" si="1"/>
        <v>1887195.6180000012</v>
      </c>
    </row>
    <row r="17" spans="1:8">
      <c r="B17" s="120"/>
      <c r="C17" s="120"/>
      <c r="D17" s="120"/>
      <c r="E17" s="120"/>
      <c r="F17" s="120"/>
      <c r="G17" s="120"/>
      <c r="H17" s="120"/>
    </row>
    <row r="18" spans="1:8">
      <c r="A18" s="16" t="s">
        <v>220</v>
      </c>
      <c r="B18" s="197">
        <f>B9-B16</f>
        <v>-976500.00000000012</v>
      </c>
      <c r="C18" s="197">
        <f t="shared" ref="C18:H18" si="2">C9-C16</f>
        <v>-1171800</v>
      </c>
      <c r="D18" s="197">
        <f t="shared" si="2"/>
        <v>-1288980.0000000002</v>
      </c>
      <c r="E18" s="197">
        <f t="shared" si="2"/>
        <v>-1417878.0000000005</v>
      </c>
      <c r="F18" s="197">
        <f t="shared" si="2"/>
        <v>-1559665.8000000007</v>
      </c>
      <c r="G18" s="197">
        <f t="shared" si="2"/>
        <v>-1715632.3800000011</v>
      </c>
      <c r="H18" s="197">
        <f t="shared" si="2"/>
        <v>-1887195.6180000012</v>
      </c>
    </row>
    <row r="19" spans="1:8">
      <c r="B19" s="120"/>
      <c r="C19" s="120"/>
      <c r="D19" s="120"/>
      <c r="E19" s="120"/>
      <c r="F19" s="120"/>
      <c r="G19" s="120"/>
      <c r="H19" s="120"/>
    </row>
    <row r="20" spans="1:8">
      <c r="A20" s="5" t="s">
        <v>221</v>
      </c>
      <c r="B20" s="116"/>
      <c r="C20" s="116">
        <f>(-B18)-(-C18)</f>
        <v>-195299.99999999988</v>
      </c>
      <c r="D20" s="116">
        <f t="shared" ref="D20:H20" si="3">(-C18)-(-D18)</f>
        <v>-117180.00000000023</v>
      </c>
      <c r="E20" s="116">
        <f t="shared" si="3"/>
        <v>-128898.00000000023</v>
      </c>
      <c r="F20" s="116">
        <f t="shared" si="3"/>
        <v>-141787.80000000028</v>
      </c>
      <c r="G20" s="116">
        <f t="shared" si="3"/>
        <v>-155966.58000000031</v>
      </c>
      <c r="H20" s="116">
        <f t="shared" si="3"/>
        <v>-171563.23800000013</v>
      </c>
    </row>
  </sheetData>
  <pageMargins left="0.7" right="0.7" top="0.75" bottom="0.75" header="0.3" footer="0.3"/>
  <pageSetup paperSize="9" orientation="portrait" horizontalDpi="4294967295" verticalDpi="4294967295"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51"/>
  <sheetViews>
    <sheetView workbookViewId="0"/>
  </sheetViews>
  <sheetFormatPr defaultRowHeight="13.2"/>
  <cols>
    <col min="1" max="1" width="32.6640625" customWidth="1"/>
    <col min="2" max="2" width="15.33203125" bestFit="1" customWidth="1"/>
    <col min="3" max="8" width="9.77734375" bestFit="1" customWidth="1"/>
    <col min="9" max="9" width="14.88671875" customWidth="1"/>
    <col min="10" max="10" width="17.44140625" customWidth="1"/>
    <col min="11" max="11" width="11" bestFit="1" customWidth="1"/>
    <col min="13" max="13" width="12.88671875" customWidth="1"/>
  </cols>
  <sheetData>
    <row r="1" spans="1:13" ht="21">
      <c r="B1" s="34" t="s">
        <v>204</v>
      </c>
      <c r="F1" s="90" t="s">
        <v>265</v>
      </c>
      <c r="G1" s="91">
        <v>15</v>
      </c>
    </row>
    <row r="3" spans="1:13" ht="14.4">
      <c r="A3" s="85" t="s">
        <v>225</v>
      </c>
    </row>
    <row r="5" spans="1:13" ht="15.6">
      <c r="A5" s="15" t="s">
        <v>282</v>
      </c>
    </row>
    <row r="6" spans="1:13" ht="15.6">
      <c r="A6" s="1"/>
    </row>
    <row r="7" spans="1:13" ht="14.4">
      <c r="A7" s="85" t="s">
        <v>225</v>
      </c>
    </row>
    <row r="8" spans="1:13" ht="15.6">
      <c r="A8" s="1"/>
    </row>
    <row r="9" spans="1:13">
      <c r="B9" s="16" t="s">
        <v>222</v>
      </c>
      <c r="C9" s="16">
        <v>1</v>
      </c>
      <c r="D9" s="16">
        <v>2</v>
      </c>
      <c r="E9" s="16">
        <v>3</v>
      </c>
      <c r="F9" s="16">
        <v>4</v>
      </c>
      <c r="G9" s="16">
        <v>5</v>
      </c>
      <c r="H9" s="16">
        <v>6</v>
      </c>
      <c r="I9" s="16">
        <v>7</v>
      </c>
      <c r="J9" s="16" t="s">
        <v>223</v>
      </c>
    </row>
    <row r="10" spans="1:13">
      <c r="C10" s="16"/>
      <c r="D10" s="16"/>
      <c r="E10" s="16"/>
      <c r="F10" s="16"/>
      <c r="G10" s="16"/>
      <c r="H10" s="16"/>
      <c r="I10" s="16"/>
    </row>
    <row r="11" spans="1:13">
      <c r="A11" t="s">
        <v>0</v>
      </c>
      <c r="B11" s="120"/>
      <c r="C11" s="116">
        <f>'P6 P&amp;L and BS Projection'!C12</f>
        <v>262426.25</v>
      </c>
      <c r="D11" s="116">
        <f>'P6 P&amp;L and BS Projection'!D12</f>
        <v>323457.5</v>
      </c>
      <c r="E11" s="116">
        <f>'P6 P&amp;L and BS Projection'!E12</f>
        <v>360076.25000000006</v>
      </c>
      <c r="F11" s="116">
        <f>'P6 P&amp;L and BS Projection'!F12</f>
        <v>400356.87500000012</v>
      </c>
      <c r="G11" s="116">
        <f>'P6 P&amp;L and BS Projection'!G12</f>
        <v>444665.56250000023</v>
      </c>
      <c r="H11" s="116">
        <f>'P6 P&amp;L and BS Projection'!H12</f>
        <v>493405.11875000026</v>
      </c>
      <c r="I11" s="116">
        <f>'P6 P&amp;L and BS Projection'!I12</f>
        <v>547018.63062500034</v>
      </c>
      <c r="J11" s="120"/>
    </row>
    <row r="12" spans="1:13">
      <c r="A12" s="17" t="s">
        <v>8</v>
      </c>
      <c r="B12" s="120"/>
      <c r="C12" s="116">
        <f>C11*'P3 Inputs'!C8</f>
        <v>52485.25</v>
      </c>
      <c r="D12" s="116">
        <f>D11*'P3 Inputs'!D8</f>
        <v>64691.5</v>
      </c>
      <c r="E12" s="116">
        <f>E11*'P3 Inputs'!E8</f>
        <v>72015.250000000015</v>
      </c>
      <c r="F12" s="116">
        <f>F11*'P3 Inputs'!F8</f>
        <v>80071.375000000029</v>
      </c>
      <c r="G12" s="116">
        <f>G11*'P3 Inputs'!G8</f>
        <v>88933.112500000047</v>
      </c>
      <c r="H12" s="116">
        <f>H11*'P3 Inputs'!H8</f>
        <v>98681.023750000051</v>
      </c>
      <c r="I12" s="116">
        <f>I11*'P3 Inputs'!I8</f>
        <v>109403.72612500007</v>
      </c>
      <c r="J12" s="120"/>
    </row>
    <row r="13" spans="1:13">
      <c r="A13" s="17" t="s">
        <v>60</v>
      </c>
      <c r="B13" s="120"/>
      <c r="C13" s="116">
        <f>C11-C12</f>
        <v>209941</v>
      </c>
      <c r="D13" s="116">
        <f t="shared" ref="D13:I13" si="0">D11-D12</f>
        <v>258766</v>
      </c>
      <c r="E13" s="116">
        <f t="shared" si="0"/>
        <v>288061.00000000006</v>
      </c>
      <c r="F13" s="116">
        <f t="shared" si="0"/>
        <v>320285.50000000012</v>
      </c>
      <c r="G13" s="116">
        <f t="shared" si="0"/>
        <v>355732.45000000019</v>
      </c>
      <c r="H13" s="116">
        <f t="shared" si="0"/>
        <v>394724.0950000002</v>
      </c>
      <c r="I13" s="116">
        <f t="shared" si="0"/>
        <v>437614.9045000003</v>
      </c>
      <c r="J13" s="120"/>
      <c r="M13" s="97"/>
    </row>
    <row r="14" spans="1:13">
      <c r="A14" s="17" t="s">
        <v>42</v>
      </c>
      <c r="B14" s="120"/>
      <c r="C14" s="116">
        <f>'P6 P&amp;L and BS Projection'!C11</f>
        <v>42730</v>
      </c>
      <c r="D14" s="116">
        <f>'P6 P&amp;L and BS Projection'!D11</f>
        <v>42730</v>
      </c>
      <c r="E14" s="116">
        <f>'P6 P&amp;L and BS Projection'!E11</f>
        <v>42730</v>
      </c>
      <c r="F14" s="116">
        <f>'P6 P&amp;L and BS Projection'!F11</f>
        <v>42730</v>
      </c>
      <c r="G14" s="116">
        <f>'P6 P&amp;L and BS Projection'!G11</f>
        <v>42730</v>
      </c>
      <c r="H14" s="116">
        <f>'P6 P&amp;L and BS Projection'!H11</f>
        <v>42730</v>
      </c>
      <c r="I14" s="116">
        <f>'P6 P&amp;L and BS Projection'!I11</f>
        <v>42730</v>
      </c>
      <c r="J14" s="120"/>
    </row>
    <row r="15" spans="1:13">
      <c r="A15" s="17" t="s">
        <v>43</v>
      </c>
      <c r="B15" s="120"/>
      <c r="C15" s="116">
        <f>-'P5 Cost of capital'!B5</f>
        <v>-976500</v>
      </c>
      <c r="D15" s="120"/>
      <c r="E15" s="120"/>
      <c r="F15" s="120"/>
      <c r="G15" s="120"/>
      <c r="H15" s="120"/>
      <c r="I15" s="120"/>
      <c r="J15" s="120"/>
      <c r="M15" s="97"/>
    </row>
    <row r="16" spans="1:13">
      <c r="A16" s="17" t="s">
        <v>44</v>
      </c>
      <c r="B16" s="120"/>
      <c r="C16" s="116"/>
      <c r="D16" s="116">
        <f>'P9 NWC'!C20</f>
        <v>-195299.99999999988</v>
      </c>
      <c r="E16" s="116">
        <f>'P9 NWC'!D20</f>
        <v>-117180.00000000023</v>
      </c>
      <c r="F16" s="116">
        <f>'P9 NWC'!E20</f>
        <v>-128898.00000000023</v>
      </c>
      <c r="G16" s="116">
        <f>'P9 NWC'!F20</f>
        <v>-141787.80000000028</v>
      </c>
      <c r="H16" s="116">
        <f>'P9 NWC'!G20</f>
        <v>-155966.58000000031</v>
      </c>
      <c r="I16" s="116">
        <f>'P9 NWC'!H20</f>
        <v>-171563.23800000013</v>
      </c>
      <c r="J16" s="120"/>
    </row>
    <row r="17" spans="1:13">
      <c r="B17" s="120"/>
      <c r="C17" s="120"/>
      <c r="D17" s="120"/>
      <c r="E17" s="120"/>
      <c r="F17" s="120"/>
      <c r="G17" s="120"/>
      <c r="H17" s="120"/>
      <c r="I17" s="120"/>
      <c r="J17" s="120"/>
      <c r="M17" s="97"/>
    </row>
    <row r="18" spans="1:13">
      <c r="A18" s="17" t="s">
        <v>5</v>
      </c>
      <c r="B18" s="120"/>
      <c r="C18" s="116">
        <f>C13+C14+C15-C16</f>
        <v>-723829</v>
      </c>
      <c r="D18" s="116">
        <f>D13+D14+D15-D16</f>
        <v>496795.99999999988</v>
      </c>
      <c r="E18" s="116">
        <f t="shared" ref="E18:H18" si="1">E13+E14+E15-E16</f>
        <v>447971.00000000029</v>
      </c>
      <c r="F18" s="116">
        <f t="shared" si="1"/>
        <v>491913.50000000035</v>
      </c>
      <c r="G18" s="116">
        <f t="shared" si="1"/>
        <v>540250.25000000047</v>
      </c>
      <c r="H18" s="116">
        <f t="shared" si="1"/>
        <v>593420.67500000051</v>
      </c>
      <c r="I18" s="116">
        <f>I13+I14+I15-I16</f>
        <v>651908.14250000042</v>
      </c>
      <c r="J18" s="120"/>
    </row>
    <row r="19" spans="1:13">
      <c r="A19" s="18" t="s">
        <v>45</v>
      </c>
      <c r="B19" s="120"/>
      <c r="C19" s="120"/>
      <c r="D19" s="120"/>
      <c r="E19" s="120"/>
      <c r="F19" s="120"/>
      <c r="G19" s="120"/>
      <c r="H19" s="120"/>
      <c r="I19" s="120"/>
      <c r="J19" s="116">
        <f>I18*(1+'P3 Inputs'!B36)/('P5 Cost of capital'!B52-'P3 Inputs'!B36)</f>
        <v>21801518.208196733</v>
      </c>
      <c r="M19" s="97"/>
    </row>
    <row r="20" spans="1:13">
      <c r="A20" s="18" t="s">
        <v>226</v>
      </c>
      <c r="B20" s="120"/>
      <c r="C20" s="116">
        <f t="shared" ref="C20:H20" si="2">C18</f>
        <v>-723829</v>
      </c>
      <c r="D20" s="116">
        <f t="shared" si="2"/>
        <v>496795.99999999988</v>
      </c>
      <c r="E20" s="116">
        <f t="shared" si="2"/>
        <v>447971.00000000029</v>
      </c>
      <c r="F20" s="116">
        <f t="shared" si="2"/>
        <v>491913.50000000035</v>
      </c>
      <c r="G20" s="116">
        <f t="shared" si="2"/>
        <v>540250.25000000047</v>
      </c>
      <c r="H20" s="116">
        <f t="shared" si="2"/>
        <v>593420.67500000051</v>
      </c>
      <c r="I20" s="116">
        <f>SUM(C21:H21)+J19</f>
        <v>23216865.893103149</v>
      </c>
      <c r="J20" s="120"/>
      <c r="L20" s="194"/>
      <c r="M20" s="196"/>
    </row>
    <row r="21" spans="1:13">
      <c r="A21" s="17" t="s">
        <v>6</v>
      </c>
      <c r="B21" s="120"/>
      <c r="C21" s="116">
        <f>C18/(1+'P5 Cost of capital'!B52)^C9</f>
        <v>-689032.84150404565</v>
      </c>
      <c r="D21" s="116">
        <f>D18/(1+'P5 Cost of capital'!B52)^D9</f>
        <v>450179.77205840865</v>
      </c>
      <c r="E21" s="116">
        <f>E18/(1+'P5 Cost of capital'!B52)^E9</f>
        <v>386421.89865418681</v>
      </c>
      <c r="F21" s="116">
        <f>F18/(1+'P5 Cost of capital'!B52)^F9</f>
        <v>403928.51644607075</v>
      </c>
      <c r="G21" s="116">
        <f>G18/(1+'P5 Cost of capital'!B52)^G9</f>
        <v>422293.78787803173</v>
      </c>
      <c r="H21" s="116">
        <f>H18/(1+'P5 Cost of capital'!B52)^H9</f>
        <v>441556.55137376301</v>
      </c>
      <c r="I21" s="116">
        <f>I18/(1+'P5 Cost of capital'!B51)^I9</f>
        <v>461655.00246534398</v>
      </c>
      <c r="J21" s="120"/>
    </row>
    <row r="22" spans="1:13">
      <c r="B22" s="120"/>
      <c r="C22" s="120"/>
      <c r="D22" s="120"/>
      <c r="E22" s="120"/>
      <c r="F22" s="120"/>
      <c r="G22" s="120"/>
      <c r="H22" s="120"/>
      <c r="I22" s="120"/>
      <c r="J22" s="120"/>
    </row>
    <row r="23" spans="1:13">
      <c r="A23" s="21" t="s">
        <v>46</v>
      </c>
      <c r="B23" s="197">
        <f>I20</f>
        <v>23216865.893103149</v>
      </c>
      <c r="C23" s="120"/>
      <c r="D23" s="120"/>
      <c r="E23" s="120"/>
      <c r="F23" s="120"/>
      <c r="G23" s="120"/>
      <c r="H23" s="120"/>
      <c r="I23" s="120"/>
      <c r="J23" s="120"/>
      <c r="M23" s="145"/>
    </row>
    <row r="24" spans="1:13">
      <c r="A24" s="18" t="s">
        <v>227</v>
      </c>
      <c r="B24" s="116">
        <f>'P6 P&amp;L and BS Projection'!B32</f>
        <v>1130000</v>
      </c>
      <c r="C24" s="120"/>
      <c r="D24" s="120"/>
      <c r="E24" s="120"/>
      <c r="F24" s="120"/>
      <c r="G24" s="120"/>
      <c r="H24" s="120"/>
      <c r="I24" s="120"/>
      <c r="J24" s="120"/>
    </row>
    <row r="25" spans="1:13">
      <c r="A25" s="18" t="s">
        <v>19</v>
      </c>
      <c r="B25" s="116">
        <f>'P6 P&amp;L and BS Projection'!B49</f>
        <v>5628000</v>
      </c>
      <c r="C25" s="120"/>
      <c r="D25" s="120"/>
      <c r="E25" s="120"/>
      <c r="F25" s="120"/>
      <c r="G25" s="120"/>
      <c r="H25" s="120"/>
      <c r="I25" s="120"/>
      <c r="J25" s="120"/>
    </row>
    <row r="26" spans="1:13">
      <c r="B26" s="120"/>
      <c r="C26" s="120"/>
      <c r="D26" s="120"/>
      <c r="E26" s="120"/>
      <c r="F26" s="120"/>
      <c r="G26" s="120"/>
      <c r="H26" s="120"/>
      <c r="I26" s="120"/>
      <c r="J26" s="120"/>
    </row>
    <row r="27" spans="1:13">
      <c r="A27" s="87" t="s">
        <v>244</v>
      </c>
      <c r="B27" s="197">
        <f>B23+B24-B25</f>
        <v>18718865.893103149</v>
      </c>
      <c r="C27" s="120"/>
      <c r="D27" s="120"/>
      <c r="E27" s="120"/>
      <c r="F27" s="120"/>
      <c r="G27" s="120"/>
      <c r="H27" s="120"/>
      <c r="I27" s="198"/>
      <c r="J27" s="198"/>
    </row>
    <row r="28" spans="1:13" ht="13.8" thickBot="1">
      <c r="A28" s="24" t="s">
        <v>228</v>
      </c>
      <c r="B28" s="36">
        <f>'P3 Inputs'!B19</f>
        <v>10500000000</v>
      </c>
      <c r="C28" s="120"/>
      <c r="D28" s="120"/>
      <c r="E28" s="120"/>
      <c r="F28" s="120"/>
      <c r="G28" s="120"/>
      <c r="H28" s="120"/>
      <c r="I28" s="120"/>
      <c r="J28" s="120"/>
    </row>
    <row r="29" spans="1:13" ht="13.8" thickBot="1">
      <c r="A29" s="58" t="s">
        <v>230</v>
      </c>
      <c r="B29" s="199">
        <f>(B27/B28)*1000</f>
        <v>1.7827491326764904</v>
      </c>
      <c r="C29" s="120"/>
      <c r="D29" s="120"/>
      <c r="E29" s="120"/>
      <c r="F29" s="120"/>
      <c r="G29" s="120"/>
      <c r="H29" s="120"/>
      <c r="I29" s="120"/>
      <c r="J29" s="120"/>
    </row>
    <row r="31" spans="1:13">
      <c r="A31" s="5"/>
      <c r="B31" s="19"/>
    </row>
    <row r="32" spans="1:13" ht="15.6">
      <c r="A32" s="214" t="s">
        <v>283</v>
      </c>
      <c r="B32" s="214"/>
      <c r="C32" s="16">
        <v>1</v>
      </c>
      <c r="D32" s="16">
        <v>2</v>
      </c>
      <c r="E32" s="16">
        <v>3</v>
      </c>
      <c r="F32" s="16">
        <v>4</v>
      </c>
      <c r="G32" s="16">
        <v>5</v>
      </c>
      <c r="H32" s="16">
        <v>6</v>
      </c>
      <c r="I32" s="16">
        <v>7</v>
      </c>
      <c r="J32" s="16" t="s">
        <v>223</v>
      </c>
    </row>
    <row r="34" spans="1:13">
      <c r="A34" s="5" t="s">
        <v>2</v>
      </c>
      <c r="B34" s="120"/>
      <c r="C34" s="116">
        <f ca="1">'P6 P&amp;L and BS Projection'!C24</f>
        <v>384223.66384647129</v>
      </c>
      <c r="D34" s="116">
        <f ca="1">'P6 P&amp;L and BS Projection'!D24</f>
        <v>438785.45072892215</v>
      </c>
      <c r="E34" s="116">
        <f ca="1">'P6 P&amp;L and BS Projection'!E24</f>
        <v>482438.5758655821</v>
      </c>
      <c r="F34" s="116">
        <f ca="1">'P6 P&amp;L and BS Projection'!F24</f>
        <v>528881.56682375376</v>
      </c>
      <c r="G34" s="116">
        <f ca="1">'P6 P&amp;L and BS Projection'!G24</f>
        <v>578343.34440131427</v>
      </c>
      <c r="H34" s="116">
        <f ca="1">'P6 P&amp;L and BS Projection'!H24</f>
        <v>631074.13044605276</v>
      </c>
      <c r="I34" s="116">
        <f ca="1">'P6 P&amp;L and BS Projection'!I24</f>
        <v>671664.69619867182</v>
      </c>
      <c r="J34" s="120"/>
    </row>
    <row r="35" spans="1:13">
      <c r="A35" s="5" t="s">
        <v>233</v>
      </c>
      <c r="B35" s="120"/>
      <c r="C35" s="120"/>
      <c r="D35" s="120"/>
      <c r="E35" s="120"/>
      <c r="F35" s="120"/>
      <c r="G35" s="120"/>
      <c r="H35" s="120"/>
      <c r="I35" s="120"/>
      <c r="J35" s="116">
        <f ca="1">I34/'P5 Cost of capital'!B39</f>
        <v>13433293.923973436</v>
      </c>
    </row>
    <row r="36" spans="1:13">
      <c r="A36" s="18" t="s">
        <v>234</v>
      </c>
      <c r="B36" s="120"/>
      <c r="C36" s="116">
        <f ca="1">C34</f>
        <v>384223.66384647129</v>
      </c>
      <c r="D36" s="116">
        <f ca="1">D34</f>
        <v>438785.45072892215</v>
      </c>
      <c r="E36" s="116">
        <f ca="1">E34</f>
        <v>482438.5758655821</v>
      </c>
      <c r="F36" s="116">
        <f ca="1">F34</f>
        <v>528881.56682375376</v>
      </c>
      <c r="G36" s="116">
        <f t="shared" ref="G36:H36" ca="1" si="3">G34</f>
        <v>578343.34440131427</v>
      </c>
      <c r="H36" s="116">
        <f t="shared" ca="1" si="3"/>
        <v>631074.13044605276</v>
      </c>
      <c r="I36" s="116">
        <f ca="1">I34+J35</f>
        <v>14104958.620172108</v>
      </c>
      <c r="J36" s="120"/>
    </row>
    <row r="37" spans="1:13">
      <c r="A37" s="86" t="s">
        <v>235</v>
      </c>
      <c r="B37" s="140"/>
      <c r="C37" s="197">
        <f ca="1">C34/(1+'P5 Cost of capital'!B39)^C9</f>
        <v>365927.29890140123</v>
      </c>
      <c r="D37" s="197">
        <f ca="1">D34/(1+'P5 Cost of capital'!B39)^D9</f>
        <v>397991.33852963458</v>
      </c>
      <c r="E37" s="197">
        <f ca="1">E34/(1+'P5 Cost of capital'!B39)^E9</f>
        <v>416748.58081466972</v>
      </c>
      <c r="F37" s="197">
        <f ca="1">F34/(1+'P5 Cost of capital'!B39)^F9</f>
        <v>435112.17389771034</v>
      </c>
      <c r="G37" s="197">
        <f ca="1">G34/(1+'P5 Cost of capital'!B39)^G9</f>
        <v>453147.14354130946</v>
      </c>
      <c r="H37" s="197">
        <f ca="1">H34/(1+'P5 Cost of capital'!B39)^H9</f>
        <v>470917.23255791614</v>
      </c>
      <c r="I37" s="197">
        <f ca="1">I34/(1+'P5 Cost of capital'!B39)^I9</f>
        <v>477339.55969591602</v>
      </c>
      <c r="J37" s="120"/>
      <c r="L37" s="97"/>
      <c r="M37" s="43"/>
    </row>
    <row r="38" spans="1:13">
      <c r="B38" s="120"/>
      <c r="C38" s="120"/>
      <c r="D38" s="120"/>
      <c r="E38" s="120"/>
      <c r="F38" s="120"/>
      <c r="G38" s="120"/>
      <c r="H38" s="120"/>
      <c r="I38" s="120"/>
      <c r="J38" s="120"/>
    </row>
    <row r="39" spans="1:13" ht="13.8" thickBot="1">
      <c r="A39" s="21" t="s">
        <v>245</v>
      </c>
      <c r="B39" s="197">
        <f ca="1">SUM(C37:I37)+(I36-SUM(C34:I34))</f>
        <v>13406730.519799896</v>
      </c>
      <c r="C39" s="120"/>
      <c r="D39" s="120"/>
      <c r="E39" s="120"/>
      <c r="F39" s="120"/>
      <c r="G39" s="120"/>
      <c r="H39" s="120"/>
      <c r="I39" s="120"/>
      <c r="J39" s="120"/>
    </row>
    <row r="40" spans="1:13" ht="13.8" thickBot="1">
      <c r="A40" s="58" t="s">
        <v>246</v>
      </c>
      <c r="B40" s="199">
        <f ca="1">(B39*1000)/'P3 Inputs'!B19</f>
        <v>1.2768314780761807</v>
      </c>
      <c r="C40" s="120"/>
      <c r="D40" s="120"/>
      <c r="E40" s="120"/>
      <c r="F40" s="120"/>
      <c r="G40" s="120"/>
      <c r="H40" s="120"/>
      <c r="I40" s="120"/>
      <c r="J40" s="120"/>
    </row>
    <row r="41" spans="1:13" ht="13.8" thickBot="1">
      <c r="B41" s="200"/>
      <c r="C41" s="120"/>
      <c r="D41" s="120"/>
      <c r="E41" s="120"/>
      <c r="F41" s="120"/>
      <c r="G41" s="120"/>
      <c r="H41" s="120"/>
      <c r="I41" s="120"/>
      <c r="J41" s="120"/>
    </row>
    <row r="42" spans="1:13" ht="13.8" thickBot="1">
      <c r="A42" s="58" t="s">
        <v>229</v>
      </c>
      <c r="B42" s="199">
        <f>'P3 Inputs'!B18</f>
        <v>2.39</v>
      </c>
      <c r="C42" s="120"/>
      <c r="D42" s="120"/>
      <c r="E42" s="120"/>
      <c r="F42" s="120"/>
      <c r="G42" s="120"/>
      <c r="H42" s="120"/>
      <c r="I42" s="120"/>
      <c r="J42" s="120"/>
    </row>
    <row r="44" spans="1:13">
      <c r="A44" s="5" t="s">
        <v>1</v>
      </c>
      <c r="B44" s="116">
        <f>'P2 History'!X23</f>
        <v>1399000</v>
      </c>
    </row>
    <row r="45" spans="1:13">
      <c r="A45" s="5" t="s">
        <v>232</v>
      </c>
      <c r="B45" s="116">
        <f>B42*'P3 Inputs'!B19</f>
        <v>25095000000</v>
      </c>
    </row>
    <row r="46" spans="1:13">
      <c r="A46" s="5" t="s">
        <v>231</v>
      </c>
      <c r="B46" s="53">
        <f>B42/(B44/'P3 Inputs'!B19)</f>
        <v>17937.812723373841</v>
      </c>
    </row>
    <row r="48" spans="1:13">
      <c r="A48" s="16" t="s">
        <v>247</v>
      </c>
    </row>
    <row r="49" spans="1:2">
      <c r="A49" s="5" t="s">
        <v>61</v>
      </c>
      <c r="B49" s="201">
        <f>B29</f>
        <v>1.7827491326764904</v>
      </c>
    </row>
    <row r="50" spans="1:2">
      <c r="A50" s="5" t="s">
        <v>62</v>
      </c>
      <c r="B50" s="201">
        <f ca="1">B40</f>
        <v>1.2768314780761807</v>
      </c>
    </row>
    <row r="51" spans="1:2">
      <c r="A51" s="5" t="s">
        <v>229</v>
      </c>
      <c r="B51" s="201">
        <f>B42</f>
        <v>2.39</v>
      </c>
    </row>
  </sheetData>
  <mergeCells count="1">
    <mergeCell ref="A32:B3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56"/>
  <sheetViews>
    <sheetView workbookViewId="0">
      <selection activeCell="A48" sqref="A48"/>
    </sheetView>
  </sheetViews>
  <sheetFormatPr defaultRowHeight="13.2"/>
  <cols>
    <col min="1" max="1" width="32.6640625" customWidth="1"/>
  </cols>
  <sheetData>
    <row r="1" spans="1:11" ht="21">
      <c r="D1" s="34" t="s">
        <v>248</v>
      </c>
      <c r="G1" s="90" t="s">
        <v>265</v>
      </c>
      <c r="H1" s="91">
        <v>20</v>
      </c>
    </row>
    <row r="4" spans="1:11" ht="15.6">
      <c r="A4" s="88" t="s">
        <v>284</v>
      </c>
    </row>
    <row r="5" spans="1:11">
      <c r="A5" s="21"/>
    </row>
    <row r="6" spans="1:11">
      <c r="A6" s="97" t="s">
        <v>252</v>
      </c>
    </row>
    <row r="7" spans="1:11">
      <c r="A7" s="218" t="s">
        <v>404</v>
      </c>
      <c r="B7" s="219"/>
      <c r="C7" s="219"/>
      <c r="D7" s="219"/>
      <c r="E7" s="219"/>
      <c r="F7" s="219"/>
      <c r="G7" s="219"/>
      <c r="H7" s="219"/>
      <c r="I7" s="219"/>
      <c r="J7" s="219"/>
      <c r="K7" s="219"/>
    </row>
    <row r="8" spans="1:11">
      <c r="A8" s="219"/>
      <c r="B8" s="219"/>
      <c r="C8" s="219"/>
      <c r="D8" s="219"/>
      <c r="E8" s="219"/>
      <c r="F8" s="219"/>
      <c r="G8" s="219"/>
      <c r="H8" s="219"/>
      <c r="I8" s="219"/>
      <c r="J8" s="219"/>
      <c r="K8" s="219"/>
    </row>
    <row r="9" spans="1:11">
      <c r="A9" s="5" t="s">
        <v>253</v>
      </c>
    </row>
    <row r="10" spans="1:11">
      <c r="A10" s="220" t="s">
        <v>405</v>
      </c>
      <c r="B10" s="221"/>
      <c r="C10" s="221"/>
      <c r="D10" s="221"/>
      <c r="E10" s="221"/>
      <c r="F10" s="221"/>
      <c r="G10" s="221"/>
      <c r="H10" s="221"/>
      <c r="I10" s="221"/>
      <c r="J10" s="221"/>
      <c r="K10" s="221"/>
    </row>
    <row r="11" spans="1:11">
      <c r="A11" s="221"/>
      <c r="B11" s="221"/>
      <c r="C11" s="221"/>
      <c r="D11" s="221"/>
      <c r="E11" s="221"/>
      <c r="F11" s="221"/>
      <c r="G11" s="221"/>
      <c r="H11" s="221"/>
      <c r="I11" s="221"/>
      <c r="J11" s="221"/>
      <c r="K11" s="221"/>
    </row>
    <row r="12" spans="1:11">
      <c r="A12" s="5" t="s">
        <v>254</v>
      </c>
    </row>
    <row r="13" spans="1:11">
      <c r="A13" s="222" t="s">
        <v>402</v>
      </c>
      <c r="B13" s="223"/>
      <c r="C13" s="223"/>
      <c r="D13" s="223"/>
      <c r="E13" s="223"/>
      <c r="F13" s="223"/>
      <c r="G13" s="223"/>
      <c r="H13" s="223"/>
      <c r="I13" s="223"/>
      <c r="J13" s="223"/>
      <c r="K13" s="223"/>
    </row>
    <row r="14" spans="1:11">
      <c r="A14" s="223"/>
      <c r="B14" s="223"/>
      <c r="C14" s="223"/>
      <c r="D14" s="223"/>
      <c r="E14" s="223"/>
      <c r="F14" s="223"/>
      <c r="G14" s="223"/>
      <c r="H14" s="223"/>
      <c r="I14" s="223"/>
      <c r="J14" s="223"/>
      <c r="K14" s="223"/>
    </row>
    <row r="15" spans="1:11">
      <c r="A15" s="5" t="s">
        <v>255</v>
      </c>
    </row>
    <row r="16" spans="1:11">
      <c r="A16" s="220" t="s">
        <v>403</v>
      </c>
      <c r="B16" s="221"/>
      <c r="C16" s="221"/>
      <c r="D16" s="221"/>
      <c r="E16" s="221"/>
      <c r="F16" s="221"/>
      <c r="G16" s="221"/>
      <c r="H16" s="221"/>
      <c r="I16" s="221"/>
      <c r="J16" s="221"/>
      <c r="K16" s="221"/>
    </row>
    <row r="17" spans="1:11">
      <c r="A17" s="221"/>
      <c r="B17" s="221"/>
      <c r="C17" s="221"/>
      <c r="D17" s="221"/>
      <c r="E17" s="221"/>
      <c r="F17" s="221"/>
      <c r="G17" s="221"/>
      <c r="H17" s="221"/>
      <c r="I17" s="221"/>
      <c r="J17" s="221"/>
      <c r="K17" s="221"/>
    </row>
    <row r="18" spans="1:11">
      <c r="A18" t="s">
        <v>256</v>
      </c>
    </row>
    <row r="19" spans="1:11" ht="13.2" customHeight="1">
      <c r="A19" s="224" t="s">
        <v>406</v>
      </c>
      <c r="B19" s="224"/>
      <c r="C19" s="224"/>
      <c r="D19" s="224"/>
      <c r="E19" s="224"/>
      <c r="F19" s="224"/>
      <c r="G19" s="224"/>
      <c r="H19" s="224"/>
      <c r="I19" s="224"/>
      <c r="J19" s="224"/>
      <c r="K19" s="224"/>
    </row>
    <row r="20" spans="1:11">
      <c r="A20" s="224"/>
      <c r="B20" s="224"/>
      <c r="C20" s="224"/>
      <c r="D20" s="224"/>
      <c r="E20" s="224"/>
      <c r="F20" s="224"/>
      <c r="G20" s="224"/>
      <c r="H20" s="224"/>
      <c r="I20" s="224"/>
      <c r="J20" s="224"/>
      <c r="K20" s="224"/>
    </row>
    <row r="22" spans="1:11" ht="15.6">
      <c r="A22" s="214" t="s">
        <v>285</v>
      </c>
      <c r="B22" s="214"/>
    </row>
    <row r="24" spans="1:11">
      <c r="A24" t="s">
        <v>257</v>
      </c>
    </row>
    <row r="25" spans="1:11">
      <c r="A25" s="216" t="s">
        <v>407</v>
      </c>
      <c r="B25" s="216"/>
      <c r="C25" s="216"/>
      <c r="D25" s="216"/>
      <c r="E25" s="216"/>
      <c r="F25" s="216"/>
      <c r="G25" s="216"/>
      <c r="H25" s="216"/>
      <c r="I25" s="216"/>
      <c r="J25" s="216"/>
      <c r="K25" s="216"/>
    </row>
    <row r="26" spans="1:11">
      <c r="A26" s="216"/>
      <c r="B26" s="216"/>
      <c r="C26" s="216"/>
      <c r="D26" s="216"/>
      <c r="E26" s="216"/>
      <c r="F26" s="216"/>
      <c r="G26" s="216"/>
      <c r="H26" s="216"/>
      <c r="I26" s="216"/>
      <c r="J26" s="216"/>
      <c r="K26" s="216"/>
    </row>
    <row r="27" spans="1:11">
      <c r="A27" t="s">
        <v>258</v>
      </c>
    </row>
    <row r="28" spans="1:11">
      <c r="A28" s="215" t="s">
        <v>401</v>
      </c>
      <c r="B28" s="215"/>
      <c r="C28" s="215"/>
      <c r="D28" s="215"/>
      <c r="E28" s="215"/>
      <c r="F28" s="215"/>
      <c r="G28" s="215"/>
      <c r="H28" s="215"/>
      <c r="I28" s="215"/>
      <c r="J28" s="215"/>
      <c r="K28" s="215"/>
    </row>
    <row r="29" spans="1:11">
      <c r="A29" s="215"/>
      <c r="B29" s="215"/>
      <c r="C29" s="215"/>
      <c r="D29" s="215"/>
      <c r="E29" s="215"/>
      <c r="F29" s="215"/>
      <c r="G29" s="215"/>
      <c r="H29" s="215"/>
      <c r="I29" s="215"/>
      <c r="J29" s="215"/>
      <c r="K29" s="215"/>
    </row>
    <row r="31" spans="1:11" ht="15.6">
      <c r="A31" s="88" t="s">
        <v>286</v>
      </c>
    </row>
    <row r="33" spans="1:11">
      <c r="A33" t="s">
        <v>249</v>
      </c>
    </row>
    <row r="34" spans="1:11">
      <c r="A34" s="216" t="s">
        <v>397</v>
      </c>
      <c r="B34" s="216"/>
      <c r="C34" s="216"/>
      <c r="D34" s="216"/>
      <c r="E34" s="216"/>
      <c r="F34" s="216"/>
      <c r="G34" s="216"/>
      <c r="H34" s="216"/>
      <c r="I34" s="216"/>
      <c r="J34" s="216"/>
      <c r="K34" s="216"/>
    </row>
    <row r="35" spans="1:11">
      <c r="A35" s="216"/>
      <c r="B35" s="216"/>
      <c r="C35" s="216"/>
      <c r="D35" s="216"/>
      <c r="E35" s="216"/>
      <c r="F35" s="216"/>
      <c r="G35" s="216"/>
      <c r="H35" s="216"/>
      <c r="I35" s="216"/>
      <c r="J35" s="216"/>
      <c r="K35" s="216"/>
    </row>
    <row r="36" spans="1:11">
      <c r="A36" t="s">
        <v>250</v>
      </c>
    </row>
    <row r="37" spans="1:11">
      <c r="A37" s="216" t="s">
        <v>399</v>
      </c>
      <c r="B37" s="216"/>
      <c r="C37" s="216"/>
      <c r="D37" s="216"/>
      <c r="E37" s="216"/>
      <c r="F37" s="216"/>
      <c r="G37" s="216"/>
      <c r="H37" s="216"/>
      <c r="I37" s="216"/>
      <c r="J37" s="216"/>
      <c r="K37" s="216"/>
    </row>
    <row r="38" spans="1:11">
      <c r="A38" s="216"/>
      <c r="B38" s="216"/>
      <c r="C38" s="216"/>
      <c r="D38" s="216"/>
      <c r="E38" s="216"/>
      <c r="F38" s="216"/>
      <c r="G38" s="216"/>
      <c r="H38" s="216"/>
      <c r="I38" s="216"/>
      <c r="J38" s="216"/>
      <c r="K38" s="216"/>
    </row>
    <row r="39" spans="1:11">
      <c r="A39" t="s">
        <v>251</v>
      </c>
    </row>
    <row r="40" spans="1:11" s="202" customFormat="1">
      <c r="A40" s="215" t="s">
        <v>398</v>
      </c>
      <c r="B40" s="215"/>
      <c r="C40" s="215"/>
      <c r="D40" s="215"/>
      <c r="E40" s="215"/>
      <c r="F40" s="215"/>
      <c r="G40" s="215"/>
      <c r="H40" s="215"/>
      <c r="I40" s="215"/>
      <c r="J40" s="215"/>
      <c r="K40" s="215"/>
    </row>
    <row r="41" spans="1:11" s="202" customFormat="1">
      <c r="A41" s="215"/>
      <c r="B41" s="215"/>
      <c r="C41" s="215"/>
      <c r="D41" s="215"/>
      <c r="E41" s="215"/>
      <c r="F41" s="215"/>
      <c r="G41" s="215"/>
      <c r="H41" s="215"/>
      <c r="I41" s="215"/>
      <c r="J41" s="215"/>
      <c r="K41" s="215"/>
    </row>
    <row r="42" spans="1:11" s="202" customFormat="1"/>
    <row r="43" spans="1:11" ht="15.6">
      <c r="A43" s="88" t="s">
        <v>287</v>
      </c>
    </row>
    <row r="45" spans="1:11">
      <c r="A45" s="5" t="s">
        <v>259</v>
      </c>
    </row>
    <row r="46" spans="1:11">
      <c r="A46" s="215" t="s">
        <v>408</v>
      </c>
      <c r="B46" s="215"/>
      <c r="C46" s="215"/>
      <c r="D46" s="215"/>
      <c r="E46" s="215"/>
      <c r="F46" s="215"/>
      <c r="G46" s="215"/>
      <c r="H46" s="215"/>
      <c r="I46" s="215"/>
      <c r="J46" s="215"/>
      <c r="K46" s="215"/>
    </row>
    <row r="47" spans="1:11">
      <c r="A47" s="215"/>
      <c r="B47" s="215"/>
      <c r="C47" s="215"/>
      <c r="D47" s="215"/>
      <c r="E47" s="215"/>
      <c r="F47" s="215"/>
      <c r="G47" s="215"/>
      <c r="H47" s="215"/>
      <c r="I47" s="215"/>
      <c r="J47" s="215"/>
      <c r="K47" s="215"/>
    </row>
    <row r="48" spans="1:11">
      <c r="A48" s="97" t="s">
        <v>260</v>
      </c>
    </row>
    <row r="49" spans="1:11">
      <c r="A49" s="217" t="s">
        <v>395</v>
      </c>
      <c r="B49" s="216"/>
      <c r="C49" s="216"/>
      <c r="D49" s="216"/>
      <c r="E49" s="216"/>
      <c r="F49" s="216"/>
      <c r="G49" s="216"/>
      <c r="H49" s="216"/>
      <c r="I49" s="216"/>
      <c r="J49" s="216"/>
      <c r="K49" s="216"/>
    </row>
    <row r="50" spans="1:11">
      <c r="A50" s="216"/>
      <c r="B50" s="216"/>
      <c r="C50" s="216"/>
      <c r="D50" s="216"/>
      <c r="E50" s="216"/>
      <c r="F50" s="216"/>
      <c r="G50" s="216"/>
      <c r="H50" s="216"/>
      <c r="I50" s="216"/>
      <c r="J50" s="216"/>
      <c r="K50" s="216"/>
    </row>
    <row r="51" spans="1:11">
      <c r="A51" s="5" t="s">
        <v>261</v>
      </c>
    </row>
    <row r="52" spans="1:11">
      <c r="A52" s="215" t="s">
        <v>396</v>
      </c>
      <c r="B52" s="215"/>
      <c r="C52" s="215"/>
      <c r="D52" s="215"/>
      <c r="E52" s="215"/>
      <c r="F52" s="215"/>
      <c r="G52" s="215"/>
      <c r="H52" s="215"/>
      <c r="I52" s="215"/>
      <c r="J52" s="215"/>
      <c r="K52" s="215"/>
    </row>
    <row r="53" spans="1:11">
      <c r="A53" s="215"/>
      <c r="B53" s="215"/>
      <c r="C53" s="215"/>
      <c r="D53" s="215"/>
      <c r="E53" s="215"/>
      <c r="F53" s="215"/>
      <c r="G53" s="215"/>
      <c r="H53" s="215"/>
      <c r="I53" s="215"/>
      <c r="J53" s="215"/>
      <c r="K53" s="215"/>
    </row>
    <row r="54" spans="1:11">
      <c r="A54" t="s">
        <v>262</v>
      </c>
    </row>
    <row r="55" spans="1:11">
      <c r="A55" s="215" t="s">
        <v>400</v>
      </c>
      <c r="B55" s="215"/>
      <c r="C55" s="215"/>
      <c r="D55" s="215"/>
      <c r="E55" s="215"/>
      <c r="F55" s="215"/>
      <c r="G55" s="215"/>
      <c r="H55" s="215"/>
      <c r="I55" s="215"/>
      <c r="J55" s="215"/>
      <c r="K55" s="215"/>
    </row>
    <row r="56" spans="1:11">
      <c r="A56" s="215"/>
      <c r="B56" s="215"/>
      <c r="C56" s="215"/>
      <c r="D56" s="215"/>
      <c r="E56" s="215"/>
      <c r="F56" s="215"/>
      <c r="G56" s="215"/>
      <c r="H56" s="215"/>
      <c r="I56" s="215"/>
      <c r="J56" s="215"/>
      <c r="K56" s="215"/>
    </row>
  </sheetData>
  <mergeCells count="15">
    <mergeCell ref="A7:K8"/>
    <mergeCell ref="A10:K11"/>
    <mergeCell ref="A13:K14"/>
    <mergeCell ref="A16:K17"/>
    <mergeCell ref="A19:K20"/>
    <mergeCell ref="A52:K53"/>
    <mergeCell ref="A55:K56"/>
    <mergeCell ref="A22:B22"/>
    <mergeCell ref="A28:K29"/>
    <mergeCell ref="A34:K35"/>
    <mergeCell ref="A37:K38"/>
    <mergeCell ref="A40:K41"/>
    <mergeCell ref="A46:K47"/>
    <mergeCell ref="A49:K50"/>
    <mergeCell ref="A25:K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9"/>
  <sheetViews>
    <sheetView workbookViewId="0"/>
  </sheetViews>
  <sheetFormatPr defaultRowHeight="13.2"/>
  <cols>
    <col min="1" max="1" width="24.6640625" customWidth="1"/>
    <col min="2" max="2" width="10.6640625" customWidth="1"/>
    <col min="3" max="3" width="14.33203125" customWidth="1"/>
  </cols>
  <sheetData>
    <row r="1" spans="1:3" ht="21">
      <c r="B1" s="34" t="s">
        <v>263</v>
      </c>
    </row>
    <row r="4" spans="1:3">
      <c r="A4" s="89" t="s">
        <v>264</v>
      </c>
      <c r="B4" s="21" t="s">
        <v>266</v>
      </c>
      <c r="C4" s="21" t="s">
        <v>269</v>
      </c>
    </row>
    <row r="5" spans="1:3">
      <c r="A5" s="29" t="s">
        <v>74</v>
      </c>
      <c r="B5">
        <v>5</v>
      </c>
      <c r="C5">
        <f>'P2 History'!F1</f>
        <v>5</v>
      </c>
    </row>
    <row r="6" spans="1:3">
      <c r="A6" s="29" t="s">
        <v>76</v>
      </c>
      <c r="B6">
        <v>5</v>
      </c>
      <c r="C6">
        <f>'P4 Assets amortization'!G1</f>
        <v>5</v>
      </c>
    </row>
    <row r="7" spans="1:3">
      <c r="A7" s="29" t="s">
        <v>77</v>
      </c>
      <c r="B7">
        <v>15</v>
      </c>
      <c r="C7">
        <f>'P5 Cost of capital'!G1</f>
        <v>15</v>
      </c>
    </row>
    <row r="8" spans="1:3">
      <c r="A8" s="29" t="s">
        <v>267</v>
      </c>
      <c r="B8">
        <v>15</v>
      </c>
      <c r="C8">
        <f>'P6 P&amp;L and BS Projection'!H1</f>
        <v>15</v>
      </c>
    </row>
    <row r="9" spans="1:3">
      <c r="A9" s="29" t="s">
        <v>78</v>
      </c>
      <c r="B9">
        <v>10</v>
      </c>
      <c r="C9">
        <f>'P7 CF''s projection'!H1</f>
        <v>10</v>
      </c>
    </row>
    <row r="10" spans="1:3">
      <c r="A10" s="29" t="s">
        <v>79</v>
      </c>
      <c r="B10">
        <v>10</v>
      </c>
      <c r="C10">
        <f>'P8 Scenarios'!F1</f>
        <v>10</v>
      </c>
    </row>
    <row r="11" spans="1:3">
      <c r="A11" s="29" t="s">
        <v>205</v>
      </c>
      <c r="B11">
        <v>5</v>
      </c>
      <c r="C11">
        <f>'P9 NWC'!H1</f>
        <v>5</v>
      </c>
    </row>
    <row r="12" spans="1:3">
      <c r="A12" s="29" t="s">
        <v>206</v>
      </c>
      <c r="B12">
        <v>15</v>
      </c>
      <c r="C12">
        <f>'P10 Valuation'!G1</f>
        <v>15</v>
      </c>
    </row>
    <row r="13" spans="1:3">
      <c r="A13" s="29" t="s">
        <v>207</v>
      </c>
      <c r="B13">
        <v>20</v>
      </c>
      <c r="C13">
        <f>'P11 Conclusion'!H1</f>
        <v>20</v>
      </c>
    </row>
    <row r="14" spans="1:3">
      <c r="A14" s="29"/>
    </row>
    <row r="15" spans="1:3">
      <c r="A15" s="5" t="s">
        <v>268</v>
      </c>
      <c r="B15">
        <f>SUM(B5:B14)</f>
        <v>100</v>
      </c>
      <c r="C15" s="21">
        <f>SUM(C5:C14)</f>
        <v>100</v>
      </c>
    </row>
    <row r="16" spans="1:3" ht="13.8" thickBot="1"/>
    <row r="17" spans="1:9" ht="16.2" thickBot="1">
      <c r="A17" s="92" t="s">
        <v>270</v>
      </c>
      <c r="B17" s="101">
        <f>C15%</f>
        <v>1</v>
      </c>
    </row>
    <row r="19" spans="1:9">
      <c r="A19" s="21" t="s">
        <v>271</v>
      </c>
    </row>
    <row r="20" spans="1:9">
      <c r="A20" s="36"/>
      <c r="B20" s="36"/>
      <c r="C20" s="36"/>
      <c r="D20" s="36"/>
      <c r="E20" s="36"/>
      <c r="F20" s="36"/>
      <c r="G20" s="36"/>
      <c r="H20" s="36"/>
      <c r="I20" s="36"/>
    </row>
    <row r="21" spans="1:9">
      <c r="A21" s="36"/>
      <c r="B21" s="36"/>
      <c r="C21" s="36"/>
      <c r="D21" s="36"/>
      <c r="E21" s="36"/>
      <c r="F21" s="36"/>
      <c r="G21" s="36"/>
      <c r="H21" s="36"/>
      <c r="I21" s="36"/>
    </row>
    <row r="22" spans="1:9">
      <c r="A22" s="36"/>
      <c r="B22" s="36"/>
      <c r="C22" s="36"/>
      <c r="D22" s="36"/>
      <c r="E22" s="36"/>
      <c r="F22" s="36"/>
      <c r="G22" s="36"/>
      <c r="H22" s="36"/>
      <c r="I22" s="36"/>
    </row>
    <row r="23" spans="1:9">
      <c r="A23" s="36"/>
      <c r="B23" s="36"/>
      <c r="C23" s="36"/>
      <c r="D23" s="36"/>
      <c r="E23" s="36"/>
      <c r="F23" s="36"/>
      <c r="G23" s="36"/>
      <c r="H23" s="36"/>
      <c r="I23" s="36"/>
    </row>
    <row r="24" spans="1:9">
      <c r="A24" s="36"/>
      <c r="B24" s="36"/>
      <c r="C24" s="36"/>
      <c r="D24" s="36"/>
      <c r="E24" s="36"/>
      <c r="F24" s="36"/>
      <c r="G24" s="36"/>
      <c r="H24" s="36"/>
      <c r="I24" s="36"/>
    </row>
    <row r="26" spans="1:9" ht="18">
      <c r="A26" s="94" t="s">
        <v>272</v>
      </c>
    </row>
    <row r="27" spans="1:9" ht="15.6">
      <c r="A27" s="93"/>
    </row>
    <row r="29" spans="1:9" ht="15.6">
      <c r="A29" s="93"/>
    </row>
  </sheetData>
  <hyperlinks>
    <hyperlink ref="A5" location="'P2 History'!A1" display="'P2 History'!A1" xr:uid="{00000000-0004-0000-0C00-000000000000}"/>
    <hyperlink ref="A6" location="'P4 Assets amortization'!A1" display="'P4 Assets amortization'!A1" xr:uid="{00000000-0004-0000-0C00-000001000000}"/>
    <hyperlink ref="A7" location="'P5 Cost of capital'!A1" display="'P5 Cost of capital'!A1" xr:uid="{00000000-0004-0000-0C00-000002000000}"/>
    <hyperlink ref="A9" location="'P7 CF''s projection'!A1" display="'P7 CF''s projection'!A1" xr:uid="{00000000-0004-0000-0C00-000003000000}"/>
    <hyperlink ref="A10" location="'P8 Scenarios'!A1" display="'P8 Scenarios'!A1" xr:uid="{00000000-0004-0000-0C00-000004000000}"/>
    <hyperlink ref="A11" location="'P9 NWC'!A1" display="'P9 NWC'!A1" xr:uid="{00000000-0004-0000-0C00-000005000000}"/>
    <hyperlink ref="A12" location="'P10 Valuation'!A1" display="'P10 Valuation'!A1" xr:uid="{00000000-0004-0000-0C00-000006000000}"/>
    <hyperlink ref="A13" location="'P11 Conclusion'!A1" display="'P11 Conclusion'!A1" xr:uid="{00000000-0004-0000-0C00-000007000000}"/>
    <hyperlink ref="A8" location="'P6 P&amp;L and BS Projection'!A1" display="'P6 P&amp;L and BS Projection'!A1" xr:uid="{00000000-0004-0000-0C00-000008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Assignment</vt:lpstr>
      <vt:lpstr>P1 Tips</vt:lpstr>
      <vt:lpstr>P2 History</vt:lpstr>
      <vt:lpstr>P3 Inputs</vt:lpstr>
      <vt:lpstr>P4 Assets amortization</vt:lpstr>
      <vt:lpstr>P5 Cost of capital</vt:lpstr>
      <vt:lpstr>P6 P&amp;L and BS Projection</vt:lpstr>
      <vt:lpstr>P7 CF's projection</vt:lpstr>
      <vt:lpstr>P8 Scenarios</vt:lpstr>
      <vt:lpstr>P9 NWC</vt:lpstr>
      <vt:lpstr>P10 Valuation</vt:lpstr>
      <vt:lpstr>P11 Conclusion</vt:lpstr>
      <vt:lpstr>P12 Instructor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Dario Silic SSBM</dc:creator>
  <cp:lastModifiedBy>Balaji Kendre</cp:lastModifiedBy>
  <cp:lastPrinted>2008-02-11T10:04:59Z</cp:lastPrinted>
  <dcterms:created xsi:type="dcterms:W3CDTF">1998-05-25T17:06:53Z</dcterms:created>
  <dcterms:modified xsi:type="dcterms:W3CDTF">2026-06-27T08:14:23Z</dcterms:modified>
</cp:coreProperties>
</file>